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https://lifechild-my.sharepoint.com/personal/filipe_dossantos_lifechild_org_za/Documents/Filipe Pesonal 2024/"/>
    </mc:Choice>
  </mc:AlternateContent>
  <xr:revisionPtr revIDLastSave="40" documentId="8_{94B3C777-3210-5C41-BB43-A3661CD9619C}" xr6:coauthVersionLast="47" xr6:coauthVersionMax="47" xr10:uidLastSave="{71A9A5F6-21D8-41FE-87B0-AEF9EC9868F4}"/>
  <bookViews>
    <workbookView xWindow="-108" yWindow="252" windowWidth="23256" windowHeight="12816" firstSheet="56" activeTab="56" xr2:uid="{00000000-000D-0000-FFFF-FFFF00000000}"/>
  </bookViews>
  <sheets>
    <sheet name="Abril " sheetId="3" r:id="rId1"/>
    <sheet name="Maio" sheetId="1" r:id="rId2"/>
    <sheet name="Junho" sheetId="4" r:id="rId3"/>
    <sheet name="Agosto" sheetId="5" r:id="rId4"/>
    <sheet name="setembro" sheetId="6" r:id="rId5"/>
    <sheet name="Outubro" sheetId="7" r:id="rId6"/>
    <sheet name="Dezembro" sheetId="8" r:id="rId7"/>
    <sheet name="Jan 2022" sheetId="10" r:id="rId8"/>
    <sheet name="Sept 2022" sheetId="11" r:id="rId9"/>
    <sheet name="Oct 2022 " sheetId="12" r:id="rId10"/>
    <sheet name="Nov 2022" sheetId="14" r:id="rId11"/>
    <sheet name="Dez 2022" sheetId="15" r:id="rId12"/>
    <sheet name="Fev 2023" sheetId="16" r:id="rId13"/>
    <sheet name="Mar 2023" sheetId="18" r:id="rId14"/>
    <sheet name="April 2023" sheetId="20" r:id="rId15"/>
    <sheet name="May 2023" sheetId="21" r:id="rId16"/>
    <sheet name="Junho 2023" sheetId="22" r:id="rId17"/>
    <sheet name="Julho 2023" sheetId="23" r:id="rId18"/>
    <sheet name="Agosto 2023" sheetId="24" r:id="rId19"/>
    <sheet name="Novembro 2023" sheetId="25" r:id="rId20"/>
    <sheet name="Dezembro 2023" sheetId="26" r:id="rId21"/>
    <sheet name="Dez 2023 &amp; Jan 2024" sheetId="27" r:id="rId22"/>
    <sheet name="Jan &amp; Fev 2024 " sheetId="28" r:id="rId23"/>
    <sheet name="Março 2024" sheetId="29" r:id="rId24"/>
    <sheet name="April 2024" sheetId="31" r:id="rId25"/>
    <sheet name="Maio 2024" sheetId="32" r:id="rId26"/>
    <sheet name="Junho 1 2024" sheetId="33" r:id="rId27"/>
    <sheet name="Junho 2 2024" sheetId="34" r:id="rId28"/>
    <sheet name="Julho - Agosto 2024" sheetId="35" r:id="rId29"/>
    <sheet name="Setembro 2024" sheetId="36" r:id="rId30"/>
    <sheet name="Outubro 2024" sheetId="38" r:id="rId31"/>
    <sheet name="Novembro 2024 (2)" sheetId="40" r:id="rId32"/>
    <sheet name="Novembro 2024" sheetId="39" r:id="rId33"/>
    <sheet name="Dezembro 2024" sheetId="41" r:id="rId34"/>
    <sheet name="Dez24 &amp; Jan 2025" sheetId="42" r:id="rId35"/>
    <sheet name="Fevereiro 2025" sheetId="43" r:id="rId36"/>
    <sheet name="Março 2025" sheetId="44" r:id="rId37"/>
    <sheet name="Abril 2025" sheetId="45" r:id="rId38"/>
    <sheet name="Maio 2025" sheetId="46" r:id="rId39"/>
    <sheet name="Maio-June 2025  (2)" sheetId="49" r:id="rId40"/>
    <sheet name="Maio-June 2025 " sheetId="47" r:id="rId41"/>
    <sheet name="Junho - Julho 2025" sheetId="48" r:id="rId42"/>
    <sheet name="Agosto 2025" sheetId="50" r:id="rId43"/>
    <sheet name="Ago&amp;Setrmbro 2025 " sheetId="51" r:id="rId44"/>
    <sheet name="Outubro 2025" sheetId="52" r:id="rId45"/>
    <sheet name="Novembro 2025" sheetId="53" r:id="rId46"/>
    <sheet name="Dezembro 2025" sheetId="54" r:id="rId47"/>
    <sheet name="Dez-Jan 2025-2026" sheetId="55" r:id="rId48"/>
    <sheet name="Fevereiro 2026" sheetId="56" r:id="rId49"/>
    <sheet name="Març0 2026" sheetId="57" r:id="rId50"/>
    <sheet name="Marco Abril 2026" sheetId="58" r:id="rId51"/>
    <sheet name="Abril - Maio 2026" sheetId="59" r:id="rId52"/>
    <sheet name="Junho 2026" sheetId="60" r:id="rId53"/>
    <sheet name="Julho 2026" sheetId="61" r:id="rId54"/>
    <sheet name="Agosto 2026" sheetId="62" r:id="rId55"/>
    <sheet name="Setembro 2026" sheetId="64" r:id="rId56"/>
    <sheet name="SetOut 2026" sheetId="65" r:id="rId57"/>
  </sheets>
  <definedNames>
    <definedName name="_xlnm.Print_Area" localSheetId="51">'Abril - Maio 2026'!$A$2:$J$40</definedName>
    <definedName name="_xlnm.Print_Area" localSheetId="37">'Abril 2025'!$A$2:$J$37</definedName>
    <definedName name="_xlnm.Print_Area" localSheetId="43">'Ago&amp;Setrmbro 2025 '!$A$2:$J$39</definedName>
    <definedName name="_xlnm.Print_Area" localSheetId="18">'Agosto 2023'!$A$2:$J$34</definedName>
    <definedName name="_xlnm.Print_Area" localSheetId="42">'Agosto 2025'!$A$2:$J$38</definedName>
    <definedName name="_xlnm.Print_Area" localSheetId="54">'Agosto 2026'!$A$2:$J$41</definedName>
    <definedName name="_xlnm.Print_Area" localSheetId="14">'April 2023'!$A$2:$J$31</definedName>
    <definedName name="_xlnm.Print_Area" localSheetId="24">'April 2024'!$A$2:$J$33</definedName>
    <definedName name="_xlnm.Print_Area" localSheetId="11">'Dez 2022'!$A$2:$J$35</definedName>
    <definedName name="_xlnm.Print_Area" localSheetId="21">'Dez 2023 &amp; Jan 2024'!$A$2:$J$35</definedName>
    <definedName name="_xlnm.Print_Area" localSheetId="34">'Dez24 &amp; Jan 2025'!$A$2:$J$35</definedName>
    <definedName name="_xlnm.Print_Area" localSheetId="6">Dezembro!$A$2:$J$30</definedName>
    <definedName name="_xlnm.Print_Area" localSheetId="20">'Dezembro 2023'!$A$2:$J$35</definedName>
    <definedName name="_xlnm.Print_Area" localSheetId="33">'Dezembro 2024'!$A$2:$J$34</definedName>
    <definedName name="_xlnm.Print_Area" localSheetId="46">'Dezembro 2025'!$A$2:$J$37</definedName>
    <definedName name="_xlnm.Print_Area" localSheetId="47">'Dez-Jan 2025-2026'!$A$2:$J$36</definedName>
    <definedName name="_xlnm.Print_Area" localSheetId="12">'Fev 2023'!$A$2:$J$38</definedName>
    <definedName name="_xlnm.Print_Area" localSheetId="35">'Fevereiro 2025'!$A$2:$J$36</definedName>
    <definedName name="_xlnm.Print_Area" localSheetId="48">'Fevereiro 2026'!$A$2:$J$36</definedName>
    <definedName name="_xlnm.Print_Area" localSheetId="22">'Jan &amp; Fev 2024 '!$A$2:$J$35</definedName>
    <definedName name="_xlnm.Print_Area" localSheetId="7">'Jan 2022'!$A$2:$J$31</definedName>
    <definedName name="_xlnm.Print_Area" localSheetId="28">'Julho - Agosto 2024'!$A$2:$J$35</definedName>
    <definedName name="_xlnm.Print_Area" localSheetId="17">'Julho 2023'!$A$2:$J$37</definedName>
    <definedName name="_xlnm.Print_Area" localSheetId="53">'Julho 2026'!$A$2:$J$41</definedName>
    <definedName name="_xlnm.Print_Area" localSheetId="41">'Junho - Julho 2025'!$A$2:$J$37</definedName>
    <definedName name="_xlnm.Print_Area" localSheetId="26">'Junho 1 2024'!$A$2:$J$34</definedName>
    <definedName name="_xlnm.Print_Area" localSheetId="27">'Junho 2 2024'!$A$2:$J$35</definedName>
    <definedName name="_xlnm.Print_Area" localSheetId="16">'Junho 2023'!$A$2:$J$31</definedName>
    <definedName name="_xlnm.Print_Area" localSheetId="52">'Junho 2026'!$A$2:$J$40</definedName>
    <definedName name="_xlnm.Print_Area" localSheetId="25">'Maio 2024'!$A$2:$J$37</definedName>
    <definedName name="_xlnm.Print_Area" localSheetId="38">'Maio 2025'!$A$2:$J$37</definedName>
    <definedName name="_xlnm.Print_Area" localSheetId="40">'Maio-June 2025 '!$A$2:$J$38</definedName>
    <definedName name="_xlnm.Print_Area" localSheetId="39">'Maio-June 2025  (2)'!$A$2:$J$38</definedName>
    <definedName name="_xlnm.Print_Area" localSheetId="13">'Mar 2023'!$A$2:$J$33</definedName>
    <definedName name="_xlnm.Print_Area" localSheetId="49">'Març0 2026'!$A$2:$J$37</definedName>
    <definedName name="_xlnm.Print_Area" localSheetId="23">'Março 2024'!$A$2:$J$37</definedName>
    <definedName name="_xlnm.Print_Area" localSheetId="36">'Março 2025'!$A$2:$J$35</definedName>
    <definedName name="_xlnm.Print_Area" localSheetId="50">'Marco Abril 2026'!$A$2:$J$37</definedName>
    <definedName name="_xlnm.Print_Area" localSheetId="15">'May 2023'!$A$2:$J$31</definedName>
    <definedName name="_xlnm.Print_Area" localSheetId="10">'Nov 2022'!$A$2:$J$35</definedName>
    <definedName name="_xlnm.Print_Area" localSheetId="19">'Novembro 2023'!$A$2:$J$35</definedName>
    <definedName name="_xlnm.Print_Area" localSheetId="32">'Novembro 2024'!$A$2:$J$36</definedName>
    <definedName name="_xlnm.Print_Area" localSheetId="31">'Novembro 2024 (2)'!$A$2:$J$36</definedName>
    <definedName name="_xlnm.Print_Area" localSheetId="45">'Novembro 2025'!$A$2:$J$37</definedName>
    <definedName name="_xlnm.Print_Area" localSheetId="9">'Oct 2022 '!$A$2:$J$35</definedName>
    <definedName name="_xlnm.Print_Area" localSheetId="30">'Outubro 2024'!$A$2:$J$38</definedName>
    <definedName name="_xlnm.Print_Area" localSheetId="44">'Outubro 2025'!$A$2:$J$40</definedName>
    <definedName name="_xlnm.Print_Area" localSheetId="8">'Sept 2022'!$A$2:$J$34</definedName>
    <definedName name="_xlnm.Print_Area" localSheetId="29">'Setembro 2024'!$A$2:$J$36</definedName>
    <definedName name="_xlnm.Print_Area" localSheetId="55">'Setembro 2026'!$A$2:$J$41</definedName>
    <definedName name="_xlnm.Print_Area" localSheetId="56">'SetOut 2026'!$A$2:$J$40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65" l="1"/>
  <c r="B23" i="65"/>
  <c r="B12" i="65"/>
  <c r="I6" i="65"/>
  <c r="A6" i="65"/>
  <c r="A2" i="65"/>
  <c r="B33" i="64"/>
  <c r="B24" i="64"/>
  <c r="B13" i="64"/>
  <c r="A6" i="64"/>
  <c r="B6" i="64"/>
  <c r="C6" i="64"/>
  <c r="D6" i="64"/>
  <c r="E6" i="64"/>
  <c r="I6" i="64"/>
  <c r="J6" i="64"/>
  <c r="A2" i="64"/>
  <c r="B33" i="62"/>
  <c r="B24" i="62"/>
  <c r="B13" i="62"/>
  <c r="A6" i="62"/>
  <c r="B6" i="62"/>
  <c r="C6" i="62"/>
  <c r="D6" i="62"/>
  <c r="E6" i="62"/>
  <c r="I6" i="62"/>
  <c r="J6" i="62"/>
  <c r="A2" i="62"/>
  <c r="B33" i="61"/>
  <c r="B24" i="61"/>
  <c r="B13" i="61"/>
  <c r="A6" i="61"/>
  <c r="B6" i="61"/>
  <c r="C6" i="61"/>
  <c r="D6" i="61"/>
  <c r="E6" i="61"/>
  <c r="I6" i="61"/>
  <c r="J6" i="61"/>
  <c r="A2" i="61"/>
  <c r="B6" i="60"/>
  <c r="C6" i="60"/>
  <c r="D6" i="60"/>
  <c r="E6" i="60"/>
  <c r="J6" i="60"/>
  <c r="B32" i="60"/>
  <c r="B24" i="60"/>
  <c r="B13" i="60"/>
  <c r="I6" i="60"/>
  <c r="A6" i="60"/>
  <c r="A2" i="60"/>
  <c r="B34" i="59"/>
  <c r="B26" i="59"/>
  <c r="B15" i="59"/>
  <c r="I6" i="59"/>
  <c r="A6" i="59"/>
  <c r="A2" i="59"/>
  <c r="B31" i="58"/>
  <c r="B23" i="58"/>
  <c r="B13" i="58"/>
  <c r="I6" i="58"/>
  <c r="A6" i="58"/>
  <c r="A2" i="58"/>
  <c r="B31" i="57"/>
  <c r="B23" i="57"/>
  <c r="B13" i="57"/>
  <c r="I6" i="57"/>
  <c r="A6" i="57"/>
  <c r="A2" i="57"/>
  <c r="A6" i="56"/>
  <c r="B30" i="56"/>
  <c r="B22" i="56"/>
  <c r="B12" i="56"/>
  <c r="I6" i="56"/>
  <c r="A2" i="56"/>
  <c r="A6" i="55" a="1"/>
  <c r="A6" i="55"/>
  <c r="B30" i="55"/>
  <c r="B21" i="55"/>
  <c r="B22" i="55"/>
  <c r="B12" i="55"/>
  <c r="I6" i="55"/>
  <c r="A2" i="55"/>
  <c r="B31" i="54"/>
  <c r="B22" i="54"/>
  <c r="B23" i="54"/>
  <c r="B12" i="54"/>
  <c r="I6" i="54"/>
  <c r="A6" i="54"/>
  <c r="A2" i="54"/>
  <c r="B22" i="53"/>
  <c r="B31" i="53"/>
  <c r="B23" i="53"/>
  <c r="B12" i="53"/>
  <c r="I6" i="53"/>
  <c r="A6" i="53"/>
  <c r="A2" i="53"/>
  <c r="B15" i="52"/>
  <c r="B34" i="52"/>
  <c r="B26" i="52"/>
  <c r="I6" i="52"/>
  <c r="A6" i="52"/>
  <c r="A2" i="52"/>
  <c r="B14" i="51"/>
  <c r="B33" i="51"/>
  <c r="B25" i="51"/>
  <c r="A6" i="51"/>
  <c r="B6" i="51"/>
  <c r="C6" i="51"/>
  <c r="D6" i="51"/>
  <c r="E6" i="51"/>
  <c r="I6" i="51"/>
  <c r="J6" i="51"/>
  <c r="A2" i="51"/>
  <c r="B32" i="50"/>
  <c r="B24" i="50"/>
  <c r="B13" i="50"/>
  <c r="I6" i="50"/>
  <c r="A6" i="50"/>
  <c r="A2" i="50"/>
  <c r="B32" i="49"/>
  <c r="B24" i="49"/>
  <c r="B13" i="49"/>
  <c r="I6" i="49"/>
  <c r="A6" i="49"/>
  <c r="A2" i="49"/>
  <c r="B31" i="48"/>
  <c r="B23" i="48"/>
  <c r="B12" i="48"/>
  <c r="A6" i="48"/>
  <c r="B6" i="48"/>
  <c r="C6" i="48"/>
  <c r="D6" i="48"/>
  <c r="E6" i="48"/>
  <c r="I6" i="48"/>
  <c r="J6" i="48"/>
  <c r="A2" i="48"/>
  <c r="B32" i="47"/>
  <c r="B24" i="47"/>
  <c r="B13" i="47"/>
  <c r="I6" i="47"/>
  <c r="A6" i="47"/>
  <c r="A2" i="47"/>
  <c r="A6" i="46"/>
  <c r="B33" i="46"/>
  <c r="B25" i="46"/>
  <c r="B14" i="46"/>
  <c r="B6" i="46"/>
  <c r="C6" i="46"/>
  <c r="D6" i="46"/>
  <c r="E6" i="46"/>
  <c r="I6" i="46"/>
  <c r="J6" i="46"/>
  <c r="A2" i="46"/>
  <c r="B33" i="45"/>
  <c r="B26" i="45"/>
  <c r="B14" i="45"/>
  <c r="I6" i="45"/>
  <c r="A6" i="45"/>
  <c r="A2" i="45"/>
  <c r="B31" i="44"/>
  <c r="B23" i="44"/>
  <c r="B11" i="44"/>
  <c r="A6" i="44"/>
  <c r="B6" i="44"/>
  <c r="C6" i="44"/>
  <c r="D6" i="44"/>
  <c r="E6" i="44"/>
  <c r="I6" i="44"/>
  <c r="J6" i="44"/>
  <c r="A2" i="44"/>
  <c r="B23" i="43"/>
  <c r="B32" i="43"/>
  <c r="B12" i="43"/>
  <c r="I6" i="43"/>
  <c r="A6" i="43"/>
  <c r="A2" i="43"/>
  <c r="B31" i="42"/>
  <c r="B22" i="42"/>
  <c r="B11" i="42"/>
  <c r="A6" i="42"/>
  <c r="B6" i="42"/>
  <c r="C6" i="42"/>
  <c r="D6" i="42"/>
  <c r="E6" i="42"/>
  <c r="I6" i="42"/>
  <c r="J6" i="42"/>
  <c r="A2" i="42"/>
  <c r="A6" i="41"/>
  <c r="B6" i="41"/>
  <c r="B30" i="41"/>
  <c r="B20" i="41"/>
  <c r="B21" i="41"/>
  <c r="B11" i="41"/>
  <c r="C6" i="41"/>
  <c r="D6" i="41"/>
  <c r="E6" i="41"/>
  <c r="I6" i="41"/>
  <c r="J6" i="41"/>
  <c r="A2" i="41"/>
  <c r="B21" i="40"/>
  <c r="B22" i="40"/>
  <c r="B11" i="40"/>
  <c r="A6" i="40"/>
  <c r="B6" i="40"/>
  <c r="C6" i="40"/>
  <c r="D6" i="40"/>
  <c r="E6" i="40"/>
  <c r="I6" i="40"/>
  <c r="J6" i="40"/>
  <c r="A2" i="40"/>
  <c r="B32" i="39"/>
  <c r="B21" i="39"/>
  <c r="B22" i="39"/>
  <c r="B11" i="39"/>
  <c r="A6" i="39"/>
  <c r="B6" i="39"/>
  <c r="C6" i="39"/>
  <c r="D6" i="39"/>
  <c r="E6" i="39"/>
  <c r="I6" i="39"/>
  <c r="J6" i="39"/>
  <c r="A2" i="39"/>
  <c r="B34" i="38"/>
  <c r="B24" i="38"/>
  <c r="B25" i="38"/>
  <c r="B13" i="38"/>
  <c r="A6" i="38"/>
  <c r="B6" i="38"/>
  <c r="C6" i="38"/>
  <c r="D6" i="38"/>
  <c r="E6" i="38"/>
  <c r="I6" i="38"/>
  <c r="J6" i="38"/>
  <c r="A2" i="38"/>
  <c r="B22" i="36"/>
  <c r="B32" i="36"/>
  <c r="B23" i="36"/>
  <c r="B12" i="36"/>
  <c r="I6" i="36"/>
  <c r="A6" i="36"/>
  <c r="A2" i="36"/>
  <c r="A6" i="35"/>
  <c r="A6" i="32"/>
  <c r="B31" i="35"/>
  <c r="B22" i="35"/>
  <c r="B12" i="35"/>
  <c r="B6" i="35"/>
  <c r="C6" i="35"/>
  <c r="D6" i="35"/>
  <c r="E6" i="35"/>
  <c r="I6" i="35"/>
  <c r="J6" i="35"/>
  <c r="A2" i="35"/>
  <c r="B12" i="34"/>
  <c r="A6" i="34"/>
  <c r="B12" i="33"/>
  <c r="A2" i="33"/>
  <c r="B22" i="33"/>
  <c r="B31" i="34"/>
  <c r="B22" i="34"/>
  <c r="C6" i="34"/>
  <c r="B6" i="34"/>
  <c r="D6" i="34"/>
  <c r="A2" i="34"/>
  <c r="B30" i="33"/>
  <c r="C6" i="33"/>
  <c r="B6" i="33"/>
  <c r="D6" i="33"/>
  <c r="B12" i="32"/>
  <c r="B33" i="32"/>
  <c r="B25" i="32"/>
  <c r="C6" i="32"/>
  <c r="A2" i="32"/>
  <c r="A6" i="31"/>
  <c r="B29" i="31"/>
  <c r="B20" i="31"/>
  <c r="B10" i="31"/>
  <c r="B6" i="31"/>
  <c r="A2" i="31"/>
  <c r="B14" i="29"/>
  <c r="A2" i="29"/>
  <c r="B33" i="29"/>
  <c r="B24" i="29"/>
  <c r="B6" i="29"/>
  <c r="A6" i="29"/>
  <c r="C6" i="29"/>
  <c r="B31" i="28"/>
  <c r="B21" i="28"/>
  <c r="B11" i="28"/>
  <c r="A6" i="28"/>
  <c r="A2" i="28"/>
  <c r="B32" i="27"/>
  <c r="B22" i="27"/>
  <c r="B12" i="27"/>
  <c r="A6" i="27"/>
  <c r="C6" i="27"/>
  <c r="A2" i="27"/>
  <c r="B10" i="26"/>
  <c r="B33" i="26"/>
  <c r="B24" i="26"/>
  <c r="B12" i="26"/>
  <c r="C6" i="26"/>
  <c r="B6" i="26"/>
  <c r="D6" i="26"/>
  <c r="A6" i="26"/>
  <c r="A2" i="26"/>
  <c r="A2" i="25"/>
  <c r="B15" i="25"/>
  <c r="B35" i="25"/>
  <c r="B26" i="25"/>
  <c r="C6" i="25"/>
  <c r="A6" i="25"/>
  <c r="B6" i="25"/>
  <c r="E6" i="34"/>
  <c r="I6" i="34"/>
  <c r="I6" i="33"/>
  <c r="E6" i="33"/>
  <c r="J6" i="33"/>
  <c r="B6" i="32"/>
  <c r="D6" i="32"/>
  <c r="E6" i="32"/>
  <c r="I6" i="32"/>
  <c r="C6" i="31"/>
  <c r="D6" i="31"/>
  <c r="E6" i="31"/>
  <c r="I6" i="31"/>
  <c r="I6" i="29"/>
  <c r="D6" i="29"/>
  <c r="E6" i="29"/>
  <c r="J6" i="29"/>
  <c r="I6" i="28"/>
  <c r="B6" i="28"/>
  <c r="D6" i="28"/>
  <c r="E6" i="28"/>
  <c r="J6" i="28"/>
  <c r="C6" i="28"/>
  <c r="I6" i="27"/>
  <c r="B6" i="27"/>
  <c r="D6" i="27"/>
  <c r="E6" i="27"/>
  <c r="J6" i="27"/>
  <c r="I6" i="26"/>
  <c r="E6" i="26"/>
  <c r="J6" i="26"/>
  <c r="I6" i="25"/>
  <c r="D6" i="25"/>
  <c r="E6" i="25"/>
  <c r="J6" i="25"/>
  <c r="B34" i="24"/>
  <c r="B25" i="24"/>
  <c r="B14" i="24"/>
  <c r="I6" i="24"/>
  <c r="A6" i="24"/>
  <c r="B6" i="24"/>
  <c r="A2" i="24"/>
  <c r="A2" i="23"/>
  <c r="J6" i="34"/>
  <c r="J6" i="32"/>
  <c r="J6" i="31"/>
  <c r="C6" i="24"/>
  <c r="D6" i="24"/>
  <c r="E6" i="24"/>
  <c r="J6" i="24"/>
  <c r="B37" i="23"/>
  <c r="B28" i="23"/>
  <c r="A6" i="23"/>
  <c r="B6" i="23"/>
  <c r="B17" i="23"/>
  <c r="I6" i="23"/>
  <c r="C6" i="23"/>
  <c r="D6" i="23"/>
  <c r="E6" i="23"/>
  <c r="B31" i="22"/>
  <c r="B22" i="22"/>
  <c r="B12" i="22"/>
  <c r="A6" i="22"/>
  <c r="C6" i="22"/>
  <c r="A2" i="22"/>
  <c r="J6" i="23"/>
  <c r="I6" i="22"/>
  <c r="B6" i="22"/>
  <c r="D6" i="22"/>
  <c r="E6" i="22"/>
  <c r="J6" i="22"/>
  <c r="A2" i="21"/>
  <c r="A6" i="21"/>
  <c r="B6" i="21"/>
  <c r="D6" i="21"/>
  <c r="B31" i="21"/>
  <c r="B22" i="21"/>
  <c r="B12" i="21"/>
  <c r="C6" i="21"/>
  <c r="I6" i="21"/>
  <c r="E6" i="21"/>
  <c r="J6" i="21"/>
  <c r="B31" i="20"/>
  <c r="B22" i="20"/>
  <c r="B12" i="20"/>
  <c r="I6" i="20"/>
  <c r="C6" i="20"/>
  <c r="B6" i="20"/>
  <c r="D6" i="20"/>
  <c r="E6" i="20"/>
  <c r="J6" i="20"/>
  <c r="B33" i="18"/>
  <c r="B22" i="18"/>
  <c r="B12" i="18"/>
  <c r="I6" i="18"/>
  <c r="C6" i="18"/>
  <c r="B6" i="18"/>
  <c r="D6" i="18"/>
  <c r="E6" i="18"/>
  <c r="J6" i="18"/>
  <c r="B36" i="16"/>
  <c r="B24" i="16"/>
  <c r="B14" i="16"/>
  <c r="I6" i="16"/>
  <c r="C6" i="16"/>
  <c r="B6" i="16"/>
  <c r="D6" i="16"/>
  <c r="E6" i="16"/>
  <c r="J6" i="16"/>
  <c r="B34" i="15"/>
  <c r="B23" i="15"/>
  <c r="I6" i="15"/>
  <c r="B12" i="15"/>
  <c r="C6" i="15"/>
  <c r="B6" i="15"/>
  <c r="D6" i="15"/>
  <c r="E6" i="15"/>
  <c r="J6" i="15"/>
  <c r="B34" i="14"/>
  <c r="B23" i="14"/>
  <c r="B12" i="14"/>
  <c r="C6" i="14"/>
  <c r="B6" i="14"/>
  <c r="D6" i="14"/>
  <c r="I6" i="14"/>
  <c r="E6" i="14"/>
  <c r="J6" i="14"/>
  <c r="B35" i="12"/>
  <c r="B24" i="12"/>
  <c r="I6" i="12"/>
  <c r="B13" i="12"/>
  <c r="C6" i="12"/>
  <c r="B6" i="12"/>
  <c r="D6" i="12"/>
  <c r="E6" i="12"/>
  <c r="J6" i="12"/>
  <c r="B34" i="11"/>
  <c r="B13" i="11"/>
  <c r="A6" i="10"/>
  <c r="B24" i="11"/>
  <c r="I6" i="11"/>
  <c r="B6" i="11"/>
  <c r="C6" i="11"/>
  <c r="B23" i="10"/>
  <c r="B31" i="10"/>
  <c r="B13" i="10"/>
  <c r="C6" i="10"/>
  <c r="B22" i="8"/>
  <c r="B30" i="8"/>
  <c r="B12" i="8"/>
  <c r="A6" i="8"/>
  <c r="B6" i="8"/>
  <c r="B11" i="7"/>
  <c r="B13" i="7"/>
  <c r="B32" i="7"/>
  <c r="B22" i="7"/>
  <c r="A6" i="7"/>
  <c r="B6" i="7"/>
  <c r="B29" i="6"/>
  <c r="I6" i="6"/>
  <c r="B21" i="6"/>
  <c r="B12" i="6"/>
  <c r="A6" i="6"/>
  <c r="B6" i="6"/>
  <c r="B12" i="5"/>
  <c r="B29" i="5"/>
  <c r="B21" i="5"/>
  <c r="C6" i="5"/>
  <c r="A6" i="5"/>
  <c r="B6" i="5"/>
  <c r="D6" i="5"/>
  <c r="D6" i="11"/>
  <c r="E6" i="11"/>
  <c r="J6" i="11"/>
  <c r="C6" i="8"/>
  <c r="C6" i="6"/>
  <c r="B6" i="10"/>
  <c r="D6" i="10"/>
  <c r="E6" i="10"/>
  <c r="I6" i="10"/>
  <c r="D6" i="8"/>
  <c r="E6" i="8"/>
  <c r="I6" i="8"/>
  <c r="I6" i="7"/>
  <c r="C6" i="7"/>
  <c r="D6" i="7"/>
  <c r="E6" i="7"/>
  <c r="D6" i="6"/>
  <c r="E6" i="6"/>
  <c r="J6" i="6"/>
  <c r="I6" i="5"/>
  <c r="E6" i="5"/>
  <c r="B30" i="4"/>
  <c r="B21" i="4"/>
  <c r="B12" i="4"/>
  <c r="A6" i="4"/>
  <c r="C6" i="4"/>
  <c r="J6" i="10"/>
  <c r="J6" i="8"/>
  <c r="I6" i="4"/>
  <c r="J6" i="7"/>
  <c r="J6" i="5"/>
  <c r="B6" i="4"/>
  <c r="D6" i="4"/>
  <c r="E6" i="4"/>
  <c r="J6" i="4"/>
  <c r="A6" i="1"/>
  <c r="B30" i="3"/>
  <c r="B21" i="3"/>
  <c r="B12" i="3"/>
  <c r="A6" i="3"/>
  <c r="C6" i="3"/>
  <c r="I6" i="3"/>
  <c r="B6" i="3"/>
  <c r="D6" i="3"/>
  <c r="E6" i="3"/>
  <c r="B30" i="1"/>
  <c r="C6" i="1"/>
  <c r="B6" i="1"/>
  <c r="D6" i="1"/>
  <c r="B12" i="1"/>
  <c r="B21" i="1"/>
  <c r="E6" i="1"/>
  <c r="I6" i="1"/>
  <c r="J6" i="1"/>
  <c r="C6" i="36"/>
  <c r="B6" i="36"/>
  <c r="D6" i="36"/>
  <c r="E6" i="36"/>
  <c r="J6" i="36"/>
  <c r="C6" i="43"/>
  <c r="B6" i="43"/>
  <c r="D6" i="43"/>
  <c r="E6" i="43"/>
  <c r="J6" i="43"/>
  <c r="C6" i="45"/>
  <c r="B6" i="45"/>
  <c r="D6" i="45"/>
  <c r="E6" i="45"/>
  <c r="J6" i="45"/>
  <c r="C6" i="47"/>
  <c r="B6" i="47"/>
  <c r="D6" i="47"/>
  <c r="E6" i="47"/>
  <c r="J6" i="47"/>
  <c r="C6" i="50"/>
  <c r="B6" i="50"/>
  <c r="D6" i="50"/>
  <c r="E6" i="50"/>
  <c r="J6" i="50"/>
  <c r="C6" i="49"/>
  <c r="B6" i="49"/>
  <c r="D6" i="49"/>
  <c r="E6" i="49"/>
  <c r="J6" i="49"/>
  <c r="C6" i="59"/>
  <c r="B6" i="59"/>
  <c r="D6" i="59"/>
  <c r="E6" i="59"/>
  <c r="J6" i="59"/>
  <c r="C6" i="58"/>
  <c r="B6" i="58"/>
  <c r="D6" i="58"/>
  <c r="E6" i="58"/>
  <c r="J6" i="58"/>
  <c r="C6" i="57"/>
  <c r="B6" i="57"/>
  <c r="D6" i="57"/>
  <c r="E6" i="57"/>
  <c r="J6" i="57"/>
  <c r="C6" i="55"/>
  <c r="B6" i="55"/>
  <c r="D6" i="55"/>
  <c r="E6" i="55"/>
  <c r="J6" i="55"/>
  <c r="C6" i="54"/>
  <c r="B6" i="54"/>
  <c r="D6" i="54"/>
  <c r="E6" i="54"/>
  <c r="J6" i="54"/>
  <c r="C6" i="53"/>
  <c r="B6" i="53"/>
  <c r="D6" i="53"/>
  <c r="E6" i="53"/>
  <c r="J6" i="53"/>
  <c r="C6" i="52"/>
  <c r="B6" i="52"/>
  <c r="D6" i="52"/>
  <c r="E6" i="52"/>
  <c r="J6" i="52"/>
  <c r="B6" i="56"/>
  <c r="C6" i="56"/>
  <c r="D6" i="56"/>
  <c r="E6" i="56"/>
  <c r="J6" i="56"/>
  <c r="C6" i="65" l="1"/>
  <c r="B6" i="65"/>
  <c r="D6" i="65" s="1"/>
  <c r="E6" i="65" s="1"/>
  <c r="J6" i="6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<sst xmlns="http://schemas.openxmlformats.org/spreadsheetml/2006/main" count="2385" uniqueCount="144">
  <si>
    <t>Mês de Abril 2021</t>
  </si>
  <si>
    <t>Planilha de Dispesas Mensal</t>
  </si>
  <si>
    <t>ENTRADA</t>
  </si>
  <si>
    <t>INSS 3%</t>
  </si>
  <si>
    <t>DIZIMO 10%</t>
  </si>
  <si>
    <t>Renda 87%</t>
  </si>
  <si>
    <t>Sando Final</t>
  </si>
  <si>
    <t>Total de Gasto</t>
  </si>
  <si>
    <t>Dispesas</t>
  </si>
  <si>
    <t>Dividas</t>
  </si>
  <si>
    <t>Valor</t>
  </si>
  <si>
    <t>Ir. Dany</t>
  </si>
  <si>
    <t>Roberto</t>
  </si>
  <si>
    <t>Poupança</t>
  </si>
  <si>
    <t>Total</t>
  </si>
  <si>
    <t xml:space="preserve">Casa </t>
  </si>
  <si>
    <t>Rancho</t>
  </si>
  <si>
    <t>Transporte</t>
  </si>
  <si>
    <t>TV</t>
  </si>
  <si>
    <t>Saude</t>
  </si>
  <si>
    <t>Agua</t>
  </si>
  <si>
    <t xml:space="preserve">Outros </t>
  </si>
  <si>
    <t>Familia</t>
  </si>
  <si>
    <t>Luis</t>
  </si>
  <si>
    <t>Raul</t>
  </si>
  <si>
    <t>Mama</t>
  </si>
  <si>
    <t>Eunice</t>
  </si>
  <si>
    <t>Neide</t>
  </si>
  <si>
    <t>Beto</t>
  </si>
  <si>
    <t>Mês de Maio 2021</t>
  </si>
  <si>
    <t>Saldo + Gasto</t>
  </si>
  <si>
    <t xml:space="preserve">Banco </t>
  </si>
  <si>
    <t>TV (TMT)</t>
  </si>
  <si>
    <t>computador</t>
  </si>
  <si>
    <r>
      <t>Batista e Asia ///</t>
    </r>
    <r>
      <rPr>
        <b/>
        <sz val="11"/>
        <color theme="1"/>
        <rFont val="Calibri"/>
        <family val="2"/>
        <scheme val="minor"/>
      </rPr>
      <t>-Lua Mel-</t>
    </r>
  </si>
  <si>
    <t>Mês de Junho 2021</t>
  </si>
  <si>
    <t>v            v</t>
  </si>
  <si>
    <t>Mês de Agosto 2021</t>
  </si>
  <si>
    <t>Lucas&amp;Tomasia</t>
  </si>
  <si>
    <t>Celular</t>
  </si>
  <si>
    <t>Mês de setembro 2021</t>
  </si>
  <si>
    <t>TV (Gotv)</t>
  </si>
  <si>
    <t>Mês de Outubro 2021</t>
  </si>
  <si>
    <t>Bebito</t>
  </si>
  <si>
    <t>Nando</t>
  </si>
  <si>
    <t>T.João</t>
  </si>
  <si>
    <t>Sanito</t>
  </si>
  <si>
    <t>Mês de Novembro 2021</t>
  </si>
  <si>
    <t>Ornamentacao</t>
  </si>
  <si>
    <t>Ir. Sonia</t>
  </si>
  <si>
    <t>Pedro</t>
  </si>
  <si>
    <t>Inscriçao</t>
  </si>
  <si>
    <t>mota</t>
  </si>
  <si>
    <t>Mês de Janeiro 2022</t>
  </si>
  <si>
    <t>M. Fulano</t>
  </si>
  <si>
    <t>Ir. Felizbela &amp; Jaime</t>
  </si>
  <si>
    <t>Marlene</t>
  </si>
  <si>
    <t>M. Bendito</t>
  </si>
  <si>
    <t>Mês de Setembro 2022</t>
  </si>
  <si>
    <t>Mae</t>
  </si>
  <si>
    <t>Carlos</t>
  </si>
  <si>
    <t>Tio Joao</t>
  </si>
  <si>
    <t>TV_Pasma</t>
  </si>
  <si>
    <t>Filipe</t>
  </si>
  <si>
    <t>Rainha</t>
  </si>
  <si>
    <t>Pai</t>
  </si>
  <si>
    <t>Helena</t>
  </si>
  <si>
    <t>MPSA</t>
  </si>
  <si>
    <t>Cells</t>
  </si>
  <si>
    <t xml:space="preserve">Beto </t>
  </si>
  <si>
    <t>Mês de Novembro 2022</t>
  </si>
  <si>
    <t>Ir. Danny</t>
  </si>
  <si>
    <t>Filomena</t>
  </si>
  <si>
    <t>Casamento</t>
  </si>
  <si>
    <t>cell e const</t>
  </si>
  <si>
    <t>Naz &amp; Filo</t>
  </si>
  <si>
    <t>Ir. Tomasia</t>
  </si>
  <si>
    <t>Robby</t>
  </si>
  <si>
    <t>Ir. Mica</t>
  </si>
  <si>
    <t>Feito</t>
  </si>
  <si>
    <t>*</t>
  </si>
  <si>
    <t>bg</t>
  </si>
  <si>
    <t>Neide = inscricao</t>
  </si>
  <si>
    <t>Chapa</t>
  </si>
  <si>
    <t>Inscrição</t>
  </si>
  <si>
    <t>Mensalidade</t>
  </si>
  <si>
    <t>Cama</t>
  </si>
  <si>
    <t>Carne</t>
  </si>
  <si>
    <t>Paulo</t>
  </si>
  <si>
    <t>Camisas</t>
  </si>
  <si>
    <t>Lençol</t>
  </si>
  <si>
    <t>Aniversário Casamento</t>
  </si>
  <si>
    <t>Coluna1</t>
  </si>
  <si>
    <t>Aniversariantes</t>
  </si>
  <si>
    <t>Documentos</t>
  </si>
  <si>
    <t>Stick</t>
  </si>
  <si>
    <t>Escolinha de Eunice</t>
  </si>
  <si>
    <t>Jaime</t>
  </si>
  <si>
    <t>Adelina</t>
  </si>
  <si>
    <t>Nico</t>
  </si>
  <si>
    <t>Bete</t>
  </si>
  <si>
    <t>Obs</t>
  </si>
  <si>
    <t>Obra</t>
  </si>
  <si>
    <t>Cadeiras</t>
  </si>
  <si>
    <t>Casamento S&amp;W</t>
  </si>
  <si>
    <t xml:space="preserve"> </t>
  </si>
  <si>
    <t xml:space="preserve">Inscrições </t>
  </si>
  <si>
    <t>stick</t>
  </si>
  <si>
    <t>Maquina</t>
  </si>
  <si>
    <t>Lucas</t>
  </si>
  <si>
    <t xml:space="preserve">Jaime </t>
  </si>
  <si>
    <t>Dia 12</t>
  </si>
  <si>
    <t xml:space="preserve">Fechadura E Fogão </t>
  </si>
  <si>
    <t xml:space="preserve">Mamã </t>
  </si>
  <si>
    <t xml:space="preserve">Festa </t>
  </si>
  <si>
    <t>Areia Mina</t>
  </si>
  <si>
    <t>Dercio</t>
  </si>
  <si>
    <t>Caridade</t>
  </si>
  <si>
    <t>done</t>
  </si>
  <si>
    <t>Poupanca</t>
  </si>
  <si>
    <t xml:space="preserve">Nico </t>
  </si>
  <si>
    <t>Isabel</t>
  </si>
  <si>
    <t xml:space="preserve">Enxoval </t>
  </si>
  <si>
    <t>M. Adelina</t>
  </si>
  <si>
    <t>Dinheiro de Dono</t>
  </si>
  <si>
    <t>Mestres</t>
  </si>
  <si>
    <t>Mensalidade FEB</t>
  </si>
  <si>
    <t>Ayumi</t>
  </si>
  <si>
    <t>Saldo Final</t>
  </si>
  <si>
    <t>Chaleira</t>
  </si>
  <si>
    <t xml:space="preserve">Liquidificador </t>
  </si>
  <si>
    <t>Agness</t>
  </si>
  <si>
    <t>Pastor</t>
  </si>
  <si>
    <t>Laurinda</t>
  </si>
  <si>
    <t>DONE</t>
  </si>
  <si>
    <t>Jack &amp; Laurinda</t>
  </si>
  <si>
    <t>Cadias</t>
  </si>
  <si>
    <t>Mugaweras</t>
  </si>
  <si>
    <t>Fifos</t>
  </si>
  <si>
    <t>Coluna2</t>
  </si>
  <si>
    <t>Ezequiel</t>
  </si>
  <si>
    <t>Chico</t>
  </si>
  <si>
    <t>Presentes</t>
  </si>
  <si>
    <t>Carvao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</si>
</sst>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2E61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2E61A"/>
        <bgColor rgb="FF000000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3" borderId="0" xfId="0" applyFill="1"/>
    <xf numFmtId="0" fontId="2" fillId="3" borderId="0" xfId="0" applyFont="1" applyFill="1"/>
    <xf numFmtId="0" fontId="4" fillId="3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5" borderId="0" xfId="0" applyFill="1"/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0" xfId="0" applyFill="1"/>
    <xf numFmtId="0" fontId="3" fillId="5" borderId="0" xfId="0" applyFont="1" applyFill="1"/>
    <xf numFmtId="0" fontId="6" fillId="7" borderId="0" xfId="0" applyFont="1" applyFill="1"/>
    <xf numFmtId="0" fontId="3" fillId="0" borderId="0" xfId="0" applyFont="1"/>
    <xf numFmtId="0" fontId="0" fillId="8" borderId="0" xfId="0" applyFill="1"/>
    <xf numFmtId="1" fontId="0" fillId="0" borderId="0" xfId="0" applyNumberFormat="1"/>
    <xf numFmtId="0" fontId="0" fillId="3" borderId="1" xfId="0" applyFill="1" applyBorder="1"/>
    <xf numFmtId="0" fontId="3" fillId="9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3" fillId="11" borderId="0" xfId="0" applyFont="1" applyFill="1"/>
    <xf numFmtId="0" fontId="0" fillId="13" borderId="0" xfId="0" applyFill="1"/>
    <xf numFmtId="0" fontId="7" fillId="3" borderId="0" xfId="0" applyFont="1" applyFill="1"/>
    <xf numFmtId="0" fontId="2" fillId="3" borderId="2" xfId="0" applyFont="1" applyFill="1" applyBorder="1"/>
    <xf numFmtId="0" fontId="0" fillId="3" borderId="3" xfId="0" applyFill="1" applyBorder="1"/>
    <xf numFmtId="0" fontId="3" fillId="3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3" fillId="14" borderId="0" xfId="0" applyFont="1" applyFill="1"/>
    <xf numFmtId="0" fontId="0" fillId="14" borderId="0" xfId="0" applyFill="1"/>
    <xf numFmtId="0" fontId="8" fillId="11" borderId="0" xfId="0" applyFont="1" applyFill="1"/>
    <xf numFmtId="17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6" fillId="4" borderId="0" xfId="0" applyFont="1" applyFill="1"/>
    <xf numFmtId="0" fontId="1" fillId="4" borderId="0" xfId="0" applyFont="1" applyFill="1"/>
    <xf numFmtId="0" fontId="6" fillId="4" borderId="0" xfId="0" applyFont="1" applyFill="1" applyAlignment="1">
      <alignment wrapText="1"/>
    </xf>
  </cellXfs>
  <cellStyles count="1">
    <cellStyle name="Normal" xfId="0" builtinId="0"/>
  </cellStyles>
  <dxfs count="1203">
    <dxf>
      <fill>
        <patternFill patternType="solid">
          <fgColor rgb="FF000000"/>
          <bgColor rgb="FFF2F2F2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F2F2F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outline="0">
        <right style="thin">
          <color indexed="64"/>
        </right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outline="0">
        <right style="thin">
          <color indexed="64"/>
        </right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outline="0">
        <right style="thin">
          <color indexed="64"/>
        </right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outline="0">
        <right style="thin">
          <color indexed="64"/>
        </right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outline="0">
        <right style="thin">
          <color indexed="64"/>
        </right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numFmt numFmtId="0" formatCode="General"/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rgb="FF32E61A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outline="0">
        <right style="thin">
          <color indexed="64"/>
        </right>
      </border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rgb="FF000000"/>
          <bgColor rgb="FFF2F2F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</dxfs>
  <tableStyles count="0" defaultTableStyle="TableStyleMedium2" defaultPivotStyle="PivotStyleLight16"/>
  <colors>
    <mruColors>
      <color rgb="FF32E6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7</v>
    <v>8</v>
    <v>23</v>
    <v>5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ela16" displayName="Tabela16" ref="A5:E6" totalsRowShown="0" headerRowDxfId="1202" dataDxfId="1201">
  <autoFilter ref="A5:E6" xr:uid="{00000000-0009-0000-0100-000005000000}"/>
  <tableColumns count="5">
    <tableColumn id="1" xr3:uid="{00000000-0010-0000-0000-000001000000}" name="ENTRADA" dataDxfId="1200">
      <calculatedColumnFormula>10000+19000</calculatedColumnFormula>
    </tableColumn>
    <tableColumn id="2" xr3:uid="{00000000-0010-0000-0000-000002000000}" name="INSS 3%" dataDxfId="1199">
      <calculatedColumnFormula>Tabela16[ENTRADA]*3/100</calculatedColumnFormula>
    </tableColumn>
    <tableColumn id="3" xr3:uid="{00000000-0010-0000-0000-000003000000}" name="DIZIMO 10%" dataDxfId="1198">
      <calculatedColumnFormula>Tabela16[ENTRADA]*10/100</calculatedColumnFormula>
    </tableColumn>
    <tableColumn id="4" xr3:uid="{00000000-0010-0000-0000-000004000000}" name="Renda 87%" dataDxfId="1197">
      <calculatedColumnFormula>Tabela16[ENTRADA]-(Tabela16[INSS 3%]+Tabela16[DIZIMO 10%])</calculatedColumnFormula>
    </tableColumn>
    <tableColumn id="5" xr3:uid="{00000000-0010-0000-0000-000005000000}" name="Sando Final" dataDxfId="1196">
      <calculatedColumnFormula>Tabela16[Renda 87%]-(B12+B21+B30)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ela27" displayName="Tabela27" ref="A8:B12" totalsRowShown="0" headerRowDxfId="1195" dataDxfId="1194">
  <autoFilter ref="A8:B12" xr:uid="{00000000-0009-0000-0100-000006000000}"/>
  <tableColumns count="2">
    <tableColumn id="1" xr3:uid="{00000000-0010-0000-0100-000001000000}" name="Dividas" dataDxfId="1193"/>
    <tableColumn id="2" xr3:uid="{00000000-0010-0000-0100-000002000000}" name="Valor" dataDxfId="1192">
      <calculatedColumnFormula>SUM(B8:B8)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ela38" displayName="Tabela38" ref="A23:B30" totalsRowShown="0" headerRowDxfId="1191" dataDxfId="1190">
  <autoFilter ref="A23:B30" xr:uid="{00000000-0009-0000-0100-000007000000}"/>
  <tableColumns count="2">
    <tableColumn id="1" xr3:uid="{00000000-0010-0000-0200-000001000000}" name="Familia" dataDxfId="1189"/>
    <tableColumn id="2" xr3:uid="{00000000-0010-0000-0200-000002000000}" name="Valor" dataDxfId="1188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Tabela49" displayName="Tabela49" ref="A14:B21" totalsRowShown="0" headerRowDxfId="1187" dataDxfId="1186">
  <autoFilter ref="A14:B21" xr:uid="{00000000-0009-0000-0100-000008000000}"/>
  <tableColumns count="2">
    <tableColumn id="1" xr3:uid="{00000000-0010-0000-0300-000001000000}" name="Casa " dataDxfId="1185"/>
    <tableColumn id="2" xr3:uid="{00000000-0010-0000-0300-000002000000}" name="Valor" dataDxfId="1184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ela1" displayName="Tabela1" ref="A5:E6" totalsRowShown="0" headerRowDxfId="1183" dataDxfId="1182">
  <autoFilter ref="A5:E6" xr:uid="{00000000-0009-0000-0100-000001000000}"/>
  <tableColumns count="5">
    <tableColumn id="1" xr3:uid="{00000000-0010-0000-0400-000001000000}" name="ENTRADA" dataDxfId="1181">
      <calculatedColumnFormula>14000+21000</calculatedColumnFormula>
    </tableColumn>
    <tableColumn id="2" xr3:uid="{00000000-0010-0000-0400-000002000000}" name="INSS 3%" dataDxfId="1180">
      <calculatedColumnFormula>Tabela1[ENTRADA]*3/100</calculatedColumnFormula>
    </tableColumn>
    <tableColumn id="3" xr3:uid="{00000000-0010-0000-0400-000003000000}" name="DIZIMO 10%" dataDxfId="1179">
      <calculatedColumnFormula>Tabela1[ENTRADA]*10/100</calculatedColumnFormula>
    </tableColumn>
    <tableColumn id="4" xr3:uid="{00000000-0010-0000-0400-000004000000}" name="Renda 87%" dataDxfId="1178">
      <calculatedColumnFormula>Tabela1[ENTRADA]-(Tabela1[INSS 3%]+Tabela1[DIZIMO 10%])</calculatedColumnFormula>
    </tableColumn>
    <tableColumn id="5" xr3:uid="{00000000-0010-0000-0400-000005000000}" name="Sando Final" dataDxfId="1177">
      <calculatedColumnFormula>Tabela1[Renda 87%]-(B12+B21+B30)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ela2" displayName="Tabela2" ref="A8:B12" totalsRowShown="0" headerRowDxfId="1176" dataDxfId="1175">
  <autoFilter ref="A8:B12" xr:uid="{00000000-0009-0000-0100-000002000000}"/>
  <tableColumns count="2">
    <tableColumn id="1" xr3:uid="{00000000-0010-0000-0500-000001000000}" name="Dividas" dataDxfId="1174"/>
    <tableColumn id="2" xr3:uid="{00000000-0010-0000-0500-000002000000}" name="Valor" dataDxfId="1173">
      <calculatedColumnFormula>SUM(B8:B8)</calculatedColumnFormula>
    </tableColumn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6000000}" name="Tabela3" displayName="Tabela3" ref="A23:B30" totalsRowShown="0" headerRowDxfId="1172" dataDxfId="1171">
  <autoFilter ref="A23:B30" xr:uid="{00000000-0009-0000-0100-000003000000}"/>
  <tableColumns count="2">
    <tableColumn id="1" xr3:uid="{00000000-0010-0000-0600-000001000000}" name="Familia" dataDxfId="1170"/>
    <tableColumn id="2" xr3:uid="{00000000-0010-0000-0600-000002000000}" name="Valor" dataDxfId="1169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7000000}" name="Tabela4" displayName="Tabela4" ref="A14:B21" totalsRowShown="0" headerRowDxfId="1168" dataDxfId="1167">
  <autoFilter ref="A14:B21" xr:uid="{00000000-0009-0000-0100-000004000000}"/>
  <tableColumns count="2">
    <tableColumn id="1" xr3:uid="{00000000-0010-0000-0700-000001000000}" name="Casa " dataDxfId="1166"/>
    <tableColumn id="2" xr3:uid="{00000000-0010-0000-0700-000002000000}" name="Valor" dataDxfId="1165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a110" displayName="Tabela110" ref="A5:E6" totalsRowShown="0" headerRowDxfId="1164" dataDxfId="1163">
  <autoFilter ref="A5:E6" xr:uid="{00000000-0009-0000-0100-000009000000}"/>
  <tableColumns count="5">
    <tableColumn id="1" xr3:uid="{00000000-0010-0000-0800-000001000000}" name="ENTRADA" dataDxfId="1162">
      <calculatedColumnFormula>14000+21000</calculatedColumnFormula>
    </tableColumn>
    <tableColumn id="2" xr3:uid="{00000000-0010-0000-0800-000002000000}" name="INSS 3%" dataDxfId="1161">
      <calculatedColumnFormula>Tabela110[ENTRADA]*3/100</calculatedColumnFormula>
    </tableColumn>
    <tableColumn id="3" xr3:uid="{00000000-0010-0000-0800-000003000000}" name="DIZIMO 10%" dataDxfId="1160">
      <calculatedColumnFormula>Tabela110[ENTRADA]*10/100</calculatedColumnFormula>
    </tableColumn>
    <tableColumn id="4" xr3:uid="{00000000-0010-0000-0800-000004000000}" name="Renda 87%" dataDxfId="1159">
      <calculatedColumnFormula>Tabela110[ENTRADA]-(Tabela110[INSS 3%]+Tabela110[DIZIMO 10%])</calculatedColumnFormula>
    </tableColumn>
    <tableColumn id="5" xr3:uid="{00000000-0010-0000-0800-000005000000}" name="Sando Final" dataDxfId="1158">
      <calculatedColumnFormula>Tabela110[Renda 87%]-(B12+B21+B30)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ela211" displayName="Tabela211" ref="A8:B12" totalsRowShown="0" headerRowDxfId="1157" dataDxfId="1156">
  <autoFilter ref="A8:B12" xr:uid="{00000000-0009-0000-0100-00000A000000}"/>
  <tableColumns count="2">
    <tableColumn id="1" xr3:uid="{00000000-0010-0000-0900-000001000000}" name="Dividas" dataDxfId="1155"/>
    <tableColumn id="2" xr3:uid="{00000000-0010-0000-0900-000002000000}" name="Valor" dataDxfId="1154">
      <calculatedColumnFormula>SUM(B8:B8)</calculatedColumnFormula>
    </tableColumn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ela312" displayName="Tabela312" ref="A23:B30" totalsRowShown="0" headerRowDxfId="1153" dataDxfId="1152">
  <autoFilter ref="A23:B30" xr:uid="{00000000-0009-0000-0100-00000B000000}"/>
  <tableColumns count="2">
    <tableColumn id="1" xr3:uid="{00000000-0010-0000-0A00-000001000000}" name="Familia" dataDxfId="1151"/>
    <tableColumn id="2" xr3:uid="{00000000-0010-0000-0A00-000002000000}" name="Valor" dataDxfId="1150"/>
  </tableColumns>
  <tableStyleInfo name="TableStyleMedium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ela413" displayName="Tabela413" ref="A14:B21" totalsRowShown="0" headerRowDxfId="1149" dataDxfId="1148">
  <autoFilter ref="A14:B21" xr:uid="{00000000-0009-0000-0100-00000C000000}"/>
  <tableColumns count="2">
    <tableColumn id="1" xr3:uid="{00000000-0010-0000-0B00-000001000000}" name="Casa " dataDxfId="1147"/>
    <tableColumn id="2" xr3:uid="{00000000-0010-0000-0B00-000002000000}" name="Valor" dataDxfId="1146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ela11014" displayName="Tabela11014" ref="A5:E6" totalsRowShown="0" headerRowDxfId="1145" dataDxfId="1144">
  <autoFilter ref="A5:E6" xr:uid="{00000000-0009-0000-0100-00000D000000}"/>
  <tableColumns count="5">
    <tableColumn id="1" xr3:uid="{00000000-0010-0000-0C00-000001000000}" name="ENTRADA" dataDxfId="1143">
      <calculatedColumnFormula>14000+21000</calculatedColumnFormula>
    </tableColumn>
    <tableColumn id="2" xr3:uid="{00000000-0010-0000-0C00-000002000000}" name="INSS 3%" dataDxfId="1142">
      <calculatedColumnFormula>Tabela11014[ENTRADA]*3/100</calculatedColumnFormula>
    </tableColumn>
    <tableColumn id="3" xr3:uid="{00000000-0010-0000-0C00-000003000000}" name="DIZIMO 10%" dataDxfId="1141">
      <calculatedColumnFormula>Tabela11014[ENTRADA]*10/100</calculatedColumnFormula>
    </tableColumn>
    <tableColumn id="4" xr3:uid="{00000000-0010-0000-0C00-000004000000}" name="Renda 87%" dataDxfId="1140">
      <calculatedColumnFormula>Tabela11014[ENTRADA]-(Tabela11014[INSS 3%]+Tabela11014[DIZIMO 10%])</calculatedColumnFormula>
    </tableColumn>
    <tableColumn id="5" xr3:uid="{00000000-0010-0000-0C00-000005000000}" name="Sando Final" dataDxfId="1139">
      <calculatedColumnFormula>Tabela11014[Renda 87%]-(B12+B21+B29)</calculatedColumnFormula>
    </tableColumn>
  </tableColumns>
  <tableStyleInfo name="TableStyleLight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ela21115" displayName="Tabela21115" ref="A8:B12" totalsRowShown="0" headerRowDxfId="1138" dataDxfId="1137">
  <autoFilter ref="A8:B12" xr:uid="{00000000-0009-0000-0100-00000E000000}"/>
  <tableColumns count="2">
    <tableColumn id="1" xr3:uid="{00000000-0010-0000-0D00-000001000000}" name="Dividas" dataDxfId="1136"/>
    <tableColumn id="2" xr3:uid="{00000000-0010-0000-0D00-000002000000}" name="Valor" dataDxfId="1135">
      <calculatedColumnFormula>SUM(B8:B8)</calculatedColumnFormula>
    </tableColumn>
  </tableColumns>
  <tableStyleInfo name="TableStyleMedium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ela31216" displayName="Tabela31216" ref="A23:B29" totalsRowShown="0" headerRowDxfId="1134" dataDxfId="1133">
  <autoFilter ref="A23:B29" xr:uid="{00000000-0009-0000-0100-00000F000000}"/>
  <tableColumns count="2">
    <tableColumn id="1" xr3:uid="{00000000-0010-0000-0E00-000001000000}" name="Familia" dataDxfId="1132"/>
    <tableColumn id="2" xr3:uid="{00000000-0010-0000-0E00-000002000000}" name="Valor" dataDxfId="1131"/>
  </tableColumns>
  <tableStyleInfo name="TableStyleMedium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ela41317" displayName="Tabela41317" ref="A14:B21" totalsRowShown="0" headerRowDxfId="1130" dataDxfId="1129">
  <autoFilter ref="A14:B21" xr:uid="{00000000-0009-0000-0100-000010000000}"/>
  <tableColumns count="2">
    <tableColumn id="1" xr3:uid="{00000000-0010-0000-0F00-000001000000}" name="Casa " dataDxfId="1128"/>
    <tableColumn id="2" xr3:uid="{00000000-0010-0000-0F00-000002000000}" name="Valor" dataDxfId="1127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ela1101418" displayName="Tabela1101418" ref="A5:E6" totalsRowShown="0" headerRowDxfId="1126" dataDxfId="1125">
  <autoFilter ref="A5:E6" xr:uid="{00000000-0009-0000-0100-000011000000}"/>
  <tableColumns count="5">
    <tableColumn id="1" xr3:uid="{00000000-0010-0000-1000-000001000000}" name="ENTRADA" dataDxfId="1124">
      <calculatedColumnFormula>14000+21000</calculatedColumnFormula>
    </tableColumn>
    <tableColumn id="2" xr3:uid="{00000000-0010-0000-1000-000002000000}" name="INSS 3%" dataDxfId="1123">
      <calculatedColumnFormula>Tabela1101418[ENTRADA]*3/100</calculatedColumnFormula>
    </tableColumn>
    <tableColumn id="3" xr3:uid="{00000000-0010-0000-1000-000003000000}" name="DIZIMO 10%" dataDxfId="1122">
      <calculatedColumnFormula>Tabela1101418[ENTRADA]*10/100</calculatedColumnFormula>
    </tableColumn>
    <tableColumn id="4" xr3:uid="{00000000-0010-0000-1000-000004000000}" name="Renda 87%" dataDxfId="1121">
      <calculatedColumnFormula>Tabela1101418[ENTRADA]-(Tabela1101418[INSS 3%]+Tabela1101418[DIZIMO 10%])</calculatedColumnFormula>
    </tableColumn>
    <tableColumn id="5" xr3:uid="{00000000-0010-0000-1000-000005000000}" name="Sando Final" dataDxfId="1120">
      <calculatedColumnFormula>Tabela1101418[Renda 87%]-(B12+B21+B29)</calculatedColumnFormula>
    </tableColumn>
  </tableColumns>
  <tableStyleInfo name="TableStyleLight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ela2111519" displayName="Tabela2111519" ref="A8:B12" totalsRowShown="0" headerRowDxfId="1119" dataDxfId="1118">
  <autoFilter ref="A8:B12" xr:uid="{00000000-0009-0000-0100-000012000000}"/>
  <tableColumns count="2">
    <tableColumn id="1" xr3:uid="{00000000-0010-0000-1100-000001000000}" name="Dividas" dataDxfId="1117"/>
    <tableColumn id="2" xr3:uid="{00000000-0010-0000-1100-000002000000}" name="Valor" dataDxfId="1116">
      <calculatedColumnFormula>SUM(B8:B8)</calculatedColumnFormula>
    </tableColumn>
  </tableColumns>
  <tableStyleInfo name="TableStyleMedium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ela3121620" displayName="Tabela3121620" ref="A23:B29" totalsRowShown="0" headerRowDxfId="1115" dataDxfId="1114">
  <autoFilter ref="A23:B29" xr:uid="{00000000-0009-0000-0100-000013000000}"/>
  <tableColumns count="2">
    <tableColumn id="1" xr3:uid="{00000000-0010-0000-1200-000001000000}" name="Familia" dataDxfId="1113"/>
    <tableColumn id="2" xr3:uid="{00000000-0010-0000-1200-000002000000}" name="Valor" dataDxfId="1112"/>
  </tableColumns>
  <tableStyleInfo name="TableStyleMedium1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ela4131721" displayName="Tabela4131721" ref="A14:B21" totalsRowShown="0" headerRowDxfId="1111" dataDxfId="1110">
  <autoFilter ref="A14:B21" xr:uid="{00000000-0009-0000-0100-000014000000}"/>
  <tableColumns count="2">
    <tableColumn id="1" xr3:uid="{00000000-0010-0000-1300-000001000000}" name="Casa " dataDxfId="1109"/>
    <tableColumn id="2" xr3:uid="{00000000-0010-0000-1300-000002000000}" name="Valor" dataDxfId="1108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ela110141822" displayName="Tabela110141822" ref="A5:E6" totalsRowShown="0" headerRowDxfId="1107" dataDxfId="1106">
  <autoFilter ref="A5:E6" xr:uid="{00000000-0009-0000-0100-000015000000}"/>
  <tableColumns count="5">
    <tableColumn id="1" xr3:uid="{00000000-0010-0000-1400-000001000000}" name="ENTRADA" dataDxfId="1105">
      <calculatedColumnFormula>14000+21000</calculatedColumnFormula>
    </tableColumn>
    <tableColumn id="2" xr3:uid="{00000000-0010-0000-1400-000002000000}" name="INSS 3%" dataDxfId="1104">
      <calculatedColumnFormula>Tabela110141822[ENTRADA]*3/100</calculatedColumnFormula>
    </tableColumn>
    <tableColumn id="3" xr3:uid="{00000000-0010-0000-1400-000003000000}" name="DIZIMO 10%" dataDxfId="1103">
      <calculatedColumnFormula>Tabela110141822[ENTRADA]*10/100</calculatedColumnFormula>
    </tableColumn>
    <tableColumn id="4" xr3:uid="{00000000-0010-0000-1400-000004000000}" name="Renda 87%" dataDxfId="1102">
      <calculatedColumnFormula>Tabela110141822[ENTRADA]-(Tabela110141822[INSS 3%]+Tabela110141822[DIZIMO 10%])</calculatedColumnFormula>
    </tableColumn>
    <tableColumn id="5" xr3:uid="{00000000-0010-0000-1400-000005000000}" name="Sando Final" dataDxfId="1101">
      <calculatedColumnFormula>Tabela110141822[Renda 87%]-(B13+B22+B32)</calculatedColumnFormula>
    </tableColumn>
  </tableColumns>
  <tableStyleInfo name="TableStyleLight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ela211151923" displayName="Tabela211151923" ref="A8:B13" totalsRowShown="0" headerRowDxfId="1100" dataDxfId="1099">
  <autoFilter ref="A8:B13" xr:uid="{00000000-0009-0000-0100-000016000000}"/>
  <tableColumns count="2">
    <tableColumn id="1" xr3:uid="{00000000-0010-0000-1500-000001000000}" name="Dividas" dataDxfId="1098"/>
    <tableColumn id="2" xr3:uid="{00000000-0010-0000-1500-000002000000}" name="Valor" dataDxfId="1097">
      <calculatedColumnFormula>SUM(B8:B8)</calculatedColumnFormula>
    </tableColumn>
  </tableColumns>
  <tableStyleInfo name="TableStyleMedium15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ela312162024" displayName="Tabela312162024" ref="A24:B32" totalsRowShown="0" headerRowDxfId="1096" dataDxfId="1095">
  <autoFilter ref="A24:B32" xr:uid="{00000000-0009-0000-0100-000017000000}"/>
  <tableColumns count="2">
    <tableColumn id="1" xr3:uid="{00000000-0010-0000-1600-000001000000}" name="Familia" dataDxfId="1094"/>
    <tableColumn id="2" xr3:uid="{00000000-0010-0000-1600-000002000000}" name="Valor" dataDxfId="1093"/>
  </tableColumns>
  <tableStyleInfo name="TableStyleMedium15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ela413172125" displayName="Tabela413172125" ref="A15:B22" totalsRowShown="0" headerRowDxfId="1092" dataDxfId="1091">
  <autoFilter ref="A15:B22" xr:uid="{00000000-0009-0000-0100-000018000000}"/>
  <tableColumns count="2">
    <tableColumn id="1" xr3:uid="{00000000-0010-0000-1700-000001000000}" name="Casa " dataDxfId="1090"/>
    <tableColumn id="2" xr3:uid="{00000000-0010-0000-1700-000002000000}" name="Valor" dataDxfId="1089">
      <calculatedColumnFormula>SUM(B15:B15)</calculatedColumnFormula>
    </tableColumn>
  </tableColumns>
  <tableStyleInfo name="TableStyleMedium15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ela11014182226" displayName="Tabela11014182226" ref="A5:E6" totalsRowShown="0" headerRowDxfId="1088" dataDxfId="1087">
  <autoFilter ref="A5:E6" xr:uid="{00000000-0009-0000-0100-000019000000}"/>
  <tableColumns count="5">
    <tableColumn id="1" xr3:uid="{00000000-0010-0000-1800-000001000000}" name="ENTRADA" dataDxfId="1086">
      <calculatedColumnFormula>14000+21000</calculatedColumnFormula>
    </tableColumn>
    <tableColumn id="2" xr3:uid="{00000000-0010-0000-1800-000002000000}" name="INSS 3%" dataDxfId="1085">
      <calculatedColumnFormula>Tabela11014182226[ENTRADA]*3/100</calculatedColumnFormula>
    </tableColumn>
    <tableColumn id="3" xr3:uid="{00000000-0010-0000-1800-000003000000}" name="DIZIMO 10%" dataDxfId="1084">
      <calculatedColumnFormula>Tabela11014182226[ENTRADA]*10/100</calculatedColumnFormula>
    </tableColumn>
    <tableColumn id="4" xr3:uid="{00000000-0010-0000-1800-000004000000}" name="Renda 87%" dataDxfId="1083">
      <calculatedColumnFormula>Tabela11014182226[ENTRADA]-(Tabela11014182226[INSS 3%]+Tabela11014182226[DIZIMO 10%])</calculatedColumnFormula>
    </tableColumn>
    <tableColumn id="5" xr3:uid="{00000000-0010-0000-1800-000005000000}" name="Sando Final" dataDxfId="1082">
      <calculatedColumnFormula>Tabela11014182226[Renda 87%]-(B12+B22+B30)</calculatedColumnFormula>
    </tableColumn>
  </tableColumns>
  <tableStyleInfo name="TableStyleLight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ela21115192327" displayName="Tabela21115192327" ref="A8:B12" totalsRowShown="0" headerRowDxfId="1081" dataDxfId="1080">
  <autoFilter ref="A8:B12" xr:uid="{00000000-0009-0000-0100-00001A000000}"/>
  <tableColumns count="2">
    <tableColumn id="1" xr3:uid="{00000000-0010-0000-1900-000001000000}" name="Dividas" dataDxfId="1079"/>
    <tableColumn id="2" xr3:uid="{00000000-0010-0000-1900-000002000000}" name="Valor" dataDxfId="1078">
      <calculatedColumnFormula>SUM(B8:B8)</calculatedColumnFormula>
    </tableColumn>
  </tableColumns>
  <tableStyleInfo name="TableStyleMedium15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ela31216202428" displayName="Tabela31216202428" ref="A24:B30" totalsRowShown="0" headerRowDxfId="1077" dataDxfId="1076">
  <autoFilter ref="A24:B30" xr:uid="{00000000-0009-0000-0100-00001B000000}"/>
  <sortState xmlns:xlrd2="http://schemas.microsoft.com/office/spreadsheetml/2017/richdata2" ref="A25:B30">
    <sortCondition ref="A24:A30"/>
  </sortState>
  <tableColumns count="2">
    <tableColumn id="1" xr3:uid="{00000000-0010-0000-1A00-000001000000}" name="Familia" dataDxfId="1075"/>
    <tableColumn id="2" xr3:uid="{00000000-0010-0000-1A00-000002000000}" name="Valor" dataDxfId="1074"/>
  </tableColumns>
  <tableStyleInfo name="TableStyleMedium15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ela41317212529" displayName="Tabela41317212529" ref="A14:B22" totalsRowShown="0" headerRowDxfId="1073" dataDxfId="1072">
  <autoFilter ref="A14:B22" xr:uid="{00000000-0009-0000-0100-00001C000000}"/>
  <tableColumns count="2">
    <tableColumn id="1" xr3:uid="{00000000-0010-0000-1B00-000001000000}" name="Casa " dataDxfId="1071"/>
    <tableColumn id="2" xr3:uid="{00000000-0010-0000-1B00-000002000000}" name="Valor" dataDxfId="1070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ela1101418222630" displayName="Tabela1101418222630" ref="A5:E6" totalsRowShown="0" headerRowDxfId="1069" dataDxfId="1068">
  <autoFilter ref="A5:E6" xr:uid="{00000000-0009-0000-0100-00001D000000}"/>
  <tableColumns count="5">
    <tableColumn id="1" xr3:uid="{00000000-0010-0000-1C00-000001000000}" name="ENTRADA" dataDxfId="1067">
      <calculatedColumnFormula>14000+21000</calculatedColumnFormula>
    </tableColumn>
    <tableColumn id="2" xr3:uid="{00000000-0010-0000-1C00-000002000000}" name="INSS 3%" dataDxfId="1066">
      <calculatedColumnFormula>Tabela1101418222630[ENTRADA]*3/100</calculatedColumnFormula>
    </tableColumn>
    <tableColumn id="3" xr3:uid="{00000000-0010-0000-1C00-000003000000}" name="DIZIMO 10%" dataDxfId="1065">
      <calculatedColumnFormula>Tabela1101418222630[ENTRADA]*10/100</calculatedColumnFormula>
    </tableColumn>
    <tableColumn id="4" xr3:uid="{00000000-0010-0000-1C00-000004000000}" name="Renda 87%" dataDxfId="1064">
      <calculatedColumnFormula>Tabela1101418222630[ENTRADA]-(Tabela1101418222630[INSS 3%]+Tabela1101418222630[DIZIMO 10%])</calculatedColumnFormula>
    </tableColumn>
    <tableColumn id="5" xr3:uid="{00000000-0010-0000-1C00-000005000000}" name="Sando Final" dataDxfId="1063">
      <calculatedColumnFormula>Tabela1101418222630[Renda 87%]-(B13+B23+B31)</calculatedColumnFormula>
    </tableColumn>
  </tableColumns>
  <tableStyleInfo name="TableStyleLight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ela2111519232731" displayName="Tabela2111519232731" ref="A8:B13" totalsRowShown="0" headerRowDxfId="1062" dataDxfId="1061">
  <autoFilter ref="A8:B13" xr:uid="{00000000-0009-0000-0100-00001E000000}"/>
  <tableColumns count="2">
    <tableColumn id="1" xr3:uid="{00000000-0010-0000-1D00-000001000000}" name="Dividas" dataDxfId="1060"/>
    <tableColumn id="2" xr3:uid="{00000000-0010-0000-1D00-000002000000}" name="Valor" dataDxfId="1059">
      <calculatedColumnFormula>SUM(B8:B8)</calculatedColumnFormula>
    </tableColumn>
  </tableColumns>
  <tableStyleInfo name="TableStyleMedium15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ela3121620242832" displayName="Tabela3121620242832" ref="A25:B31" totalsRowShown="0" headerRowDxfId="1058" dataDxfId="1057">
  <autoFilter ref="A25:B31" xr:uid="{00000000-0009-0000-0100-00001F000000}"/>
  <sortState xmlns:xlrd2="http://schemas.microsoft.com/office/spreadsheetml/2017/richdata2" ref="A26:B31">
    <sortCondition ref="A25:A31"/>
  </sortState>
  <tableColumns count="2">
    <tableColumn id="1" xr3:uid="{00000000-0010-0000-1E00-000001000000}" name="Familia" dataDxfId="1056"/>
    <tableColumn id="2" xr3:uid="{00000000-0010-0000-1E00-000002000000}" name="Valor" dataDxfId="1055"/>
  </tableColumns>
  <tableStyleInfo name="TableStyleMedium15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ela4131721252933" displayName="Tabela4131721252933" ref="A15:B23" totalsRowShown="0" headerRowDxfId="1054" dataDxfId="1053">
  <autoFilter ref="A15:B23" xr:uid="{00000000-0009-0000-0100-000020000000}"/>
  <tableColumns count="2">
    <tableColumn id="1" xr3:uid="{00000000-0010-0000-1F00-000001000000}" name="Casa " dataDxfId="1052"/>
    <tableColumn id="2" xr3:uid="{00000000-0010-0000-1F00-000002000000}" name="Valor" dataDxfId="1051">
      <calculatedColumnFormula>SUM(B15:B15)</calculatedColumnFormula>
    </tableColumn>
  </tableColumns>
  <tableStyleInfo name="TableStyleMedium15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ela110141822263034" displayName="Tabela110141822263034" ref="A5:E6" totalsRowShown="0" headerRowDxfId="1050" dataDxfId="1049">
  <autoFilter ref="A5:E6" xr:uid="{00000000-0009-0000-0100-000021000000}"/>
  <tableColumns count="5">
    <tableColumn id="1" xr3:uid="{00000000-0010-0000-2000-000001000000}" name="ENTRADA" dataDxfId="1048"/>
    <tableColumn id="2" xr3:uid="{00000000-0010-0000-2000-000002000000}" name="INSS 3%" dataDxfId="1047">
      <calculatedColumnFormula>Tabela110141822263034[ENTRADA]*3/100</calculatedColumnFormula>
    </tableColumn>
    <tableColumn id="3" xr3:uid="{00000000-0010-0000-2000-000003000000}" name="DIZIMO 10%" dataDxfId="1046">
      <calculatedColumnFormula>Tabela110141822263034[ENTRADA]*10/100</calculatedColumnFormula>
    </tableColumn>
    <tableColumn id="4" xr3:uid="{00000000-0010-0000-2000-000004000000}" name="Renda 87%" dataDxfId="1045">
      <calculatedColumnFormula>Tabela110141822263034[ENTRADA]-(Tabela110141822263034[INSS 3%]+Tabela110141822263034[DIZIMO 10%])</calculatedColumnFormula>
    </tableColumn>
    <tableColumn id="5" xr3:uid="{00000000-0010-0000-2000-000005000000}" name="Sando Final" dataDxfId="1044">
      <calculatedColumnFormula>Tabela110141822263034[Renda 87%]-(B13+B24+B34)</calculatedColumnFormula>
    </tableColumn>
  </tableColumns>
  <tableStyleInfo name="TableStyleLight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ela211151923273135" displayName="Tabela211151923273135" ref="A8:B13" totalsRowShown="0" headerRowDxfId="1043" dataDxfId="1042">
  <autoFilter ref="A8:B13" xr:uid="{00000000-0009-0000-0100-000022000000}"/>
  <tableColumns count="2">
    <tableColumn id="1" xr3:uid="{00000000-0010-0000-2100-000001000000}" name="Dividas" dataDxfId="1041"/>
    <tableColumn id="2" xr3:uid="{00000000-0010-0000-2100-000002000000}" name="Valor" dataDxfId="1040">
      <calculatedColumnFormula>SUM(B8:B8)</calculatedColumnFormula>
    </tableColumn>
  </tableColumns>
  <tableStyleInfo name="TableStyleMedium15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ela312162024283236" displayName="Tabela312162024283236" ref="A26:B34" totalsRowShown="0" headerRowDxfId="1039" dataDxfId="1038">
  <autoFilter ref="A26:B34" xr:uid="{00000000-0009-0000-0100-000023000000}"/>
  <sortState xmlns:xlrd2="http://schemas.microsoft.com/office/spreadsheetml/2017/richdata2" ref="A27:B34">
    <sortCondition ref="A26:A34"/>
  </sortState>
  <tableColumns count="2">
    <tableColumn id="1" xr3:uid="{00000000-0010-0000-2200-000001000000}" name="Familia" dataDxfId="1037"/>
    <tableColumn id="2" xr3:uid="{00000000-0010-0000-2200-000002000000}" name="Valor" dataDxfId="1036"/>
  </tableColumns>
  <tableStyleInfo name="TableStyleMedium15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ela413172125293337" displayName="Tabela413172125293337" ref="A15:B24" totalsRowShown="0" headerRowDxfId="1035" dataDxfId="1034">
  <autoFilter ref="A15:B24" xr:uid="{00000000-0009-0000-0100-000024000000}"/>
  <tableColumns count="2">
    <tableColumn id="1" xr3:uid="{00000000-0010-0000-2300-000001000000}" name="Casa " dataDxfId="1033"/>
    <tableColumn id="2" xr3:uid="{00000000-0010-0000-2300-000002000000}" name="Valor" dataDxfId="1032">
      <calculatedColumnFormula>SUM(B15:B15)</calculatedColumnFormula>
    </tableColumn>
  </tableColumns>
  <tableStyleInfo name="TableStyleMedium15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ela11014182226303438" displayName="Tabela11014182226303438" ref="A5:E6" totalsRowShown="0" headerRowDxfId="1031" dataDxfId="1030">
  <autoFilter ref="A5:E6" xr:uid="{00000000-0009-0000-0100-000025000000}"/>
  <tableColumns count="5">
    <tableColumn id="1" xr3:uid="{00000000-0010-0000-2400-000001000000}" name="ENTRADA" dataDxfId="1029"/>
    <tableColumn id="2" xr3:uid="{00000000-0010-0000-2400-000002000000}" name="INSS 3%" dataDxfId="1028">
      <calculatedColumnFormula>Tabela11014182226303438[ENTRADA]*3/100</calculatedColumnFormula>
    </tableColumn>
    <tableColumn id="3" xr3:uid="{00000000-0010-0000-2400-000003000000}" name="DIZIMO 10%" dataDxfId="1027">
      <calculatedColumnFormula>Tabela11014182226303438[ENTRADA]*10/100</calculatedColumnFormula>
    </tableColumn>
    <tableColumn id="4" xr3:uid="{00000000-0010-0000-2400-000004000000}" name="Renda 87%" dataDxfId="1026">
      <calculatedColumnFormula>Tabela11014182226303438[ENTRADA]-(Tabela11014182226303438[INSS 3%]+Tabela11014182226303438[DIZIMO 10%])</calculatedColumnFormula>
    </tableColumn>
    <tableColumn id="5" xr3:uid="{00000000-0010-0000-2400-000005000000}" name="Sando Final" dataDxfId="1025">
      <calculatedColumnFormula>Tabela11014182226303438[Renda 87%]-(B13+B24+B35)</calculatedColumnFormula>
    </tableColumn>
  </tableColumns>
  <tableStyleInfo name="TableStyleLight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ela21115192327313539" displayName="Tabela21115192327313539" ref="A8:B13" totalsRowShown="0" headerRowDxfId="1024" dataDxfId="1023">
  <autoFilter ref="A8:B13" xr:uid="{00000000-0009-0000-0100-000026000000}"/>
  <tableColumns count="2">
    <tableColumn id="1" xr3:uid="{00000000-0010-0000-2500-000001000000}" name="Dividas" dataDxfId="1022"/>
    <tableColumn id="2" xr3:uid="{00000000-0010-0000-2500-000002000000}" name="Valor" dataDxfId="1021">
      <calculatedColumnFormula>SUM(B8:B8)</calculatedColumnFormula>
    </tableColumn>
  </tableColumns>
  <tableStyleInfo name="TableStyleMedium15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ela31216202428323640" displayName="Tabela31216202428323640" ref="A26:B35" totalsRowShown="0" headerRowDxfId="1020" dataDxfId="1019">
  <autoFilter ref="A26:B35" xr:uid="{00000000-0009-0000-0100-000027000000}"/>
  <sortState xmlns:xlrd2="http://schemas.microsoft.com/office/spreadsheetml/2017/richdata2" ref="A27:B35">
    <sortCondition ref="A26:A35"/>
  </sortState>
  <tableColumns count="2">
    <tableColumn id="1" xr3:uid="{00000000-0010-0000-2600-000001000000}" name="Familia" dataDxfId="1018"/>
    <tableColumn id="2" xr3:uid="{00000000-0010-0000-2600-000002000000}" name="Valor" dataDxfId="1017"/>
  </tableColumns>
  <tableStyleInfo name="TableStyleMedium15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ela41317212529333741" displayName="Tabela41317212529333741" ref="A15:B24" totalsRowShown="0" headerRowDxfId="1016" dataDxfId="1015">
  <autoFilter ref="A15:B24" xr:uid="{00000000-0009-0000-0100-000028000000}"/>
  <tableColumns count="2">
    <tableColumn id="1" xr3:uid="{00000000-0010-0000-2700-000001000000}" name="Casa " dataDxfId="1014"/>
    <tableColumn id="2" xr3:uid="{00000000-0010-0000-2700-000002000000}" name="Valor" dataDxfId="1013">
      <calculatedColumnFormula>SUM(B15:B15)</calculatedColumnFormula>
    </tableColumn>
  </tableColumns>
  <tableStyleInfo name="TableStyleMedium15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ela1101418222630343842" displayName="Tabela1101418222630343842" ref="A5:E6" totalsRowShown="0" headerRowDxfId="1012" dataDxfId="1011">
  <autoFilter ref="A5:E6" xr:uid="{00000000-0009-0000-0100-000029000000}"/>
  <tableColumns count="5">
    <tableColumn id="1" xr3:uid="{00000000-0010-0000-2800-000001000000}" name="ENTRADA" dataDxfId="1010"/>
    <tableColumn id="2" xr3:uid="{00000000-0010-0000-2800-000002000000}" name="INSS 3%" dataDxfId="1009">
      <calculatedColumnFormula>Tabela1101418222630343842[ENTRADA]*3/100</calculatedColumnFormula>
    </tableColumn>
    <tableColumn id="3" xr3:uid="{00000000-0010-0000-2800-000003000000}" name="DIZIMO 10%" dataDxfId="1008">
      <calculatedColumnFormula>Tabela1101418222630343842[ENTRADA]*10/100</calculatedColumnFormula>
    </tableColumn>
    <tableColumn id="4" xr3:uid="{00000000-0010-0000-2800-000004000000}" name="Renda 87%" dataDxfId="1007">
      <calculatedColumnFormula>Tabela1101418222630343842[ENTRADA]-(Tabela1101418222630343842[INSS 3%]+Tabela1101418222630343842[DIZIMO 10%])</calculatedColumnFormula>
    </tableColumn>
    <tableColumn id="5" xr3:uid="{00000000-0010-0000-2800-000005000000}" name="Sando Final" dataDxfId="1006">
      <calculatedColumnFormula>Tabela1101418222630343842[Renda 87%]-(B12+B23+B34)</calculatedColumnFormula>
    </tableColumn>
  </tableColumns>
  <tableStyleInfo name="TableStyleLight8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ela2111519232731353943" displayName="Tabela2111519232731353943" ref="A8:B12" totalsRowShown="0" headerRowDxfId="1005" dataDxfId="1004">
  <autoFilter ref="A8:B12" xr:uid="{00000000-0009-0000-0100-00002A000000}"/>
  <tableColumns count="2">
    <tableColumn id="1" xr3:uid="{00000000-0010-0000-2900-000001000000}" name="Dividas" dataDxfId="1003"/>
    <tableColumn id="2" xr3:uid="{00000000-0010-0000-2900-000002000000}" name="Valor" dataDxfId="1002">
      <calculatedColumnFormula>SUM(B8:B8)</calculatedColumnFormula>
    </tableColumn>
  </tableColumns>
  <tableStyleInfo name="TableStyleMedium15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ela3121620242832364044" displayName="Tabela3121620242832364044" ref="A25:B34" totalsRowShown="0" headerRowDxfId="1001" dataDxfId="1000">
  <autoFilter ref="A25:B34" xr:uid="{00000000-0009-0000-0100-00002B000000}"/>
  <sortState xmlns:xlrd2="http://schemas.microsoft.com/office/spreadsheetml/2017/richdata2" ref="A26:B34">
    <sortCondition ref="A25:A34"/>
  </sortState>
  <tableColumns count="2">
    <tableColumn id="1" xr3:uid="{00000000-0010-0000-2A00-000001000000}" name="Familia" dataDxfId="999"/>
    <tableColumn id="2" xr3:uid="{00000000-0010-0000-2A00-000002000000}" name="Valor" dataDxfId="998"/>
  </tableColumns>
  <tableStyleInfo name="TableStyleMedium15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ela4131721252933374145" displayName="Tabela4131721252933374145" ref="A14:B23" totalsRowShown="0" headerRowDxfId="997" dataDxfId="996">
  <autoFilter ref="A14:B23" xr:uid="{00000000-0009-0000-0100-00002C000000}"/>
  <tableColumns count="2">
    <tableColumn id="1" xr3:uid="{00000000-0010-0000-2B00-000001000000}" name="Casa " dataDxfId="995"/>
    <tableColumn id="2" xr3:uid="{00000000-0010-0000-2B00-000002000000}" name="Valor" dataDxfId="994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ela110141822263034384246" displayName="Tabela110141822263034384246" ref="A5:E6" totalsRowShown="0" headerRowDxfId="993" dataDxfId="992">
  <autoFilter ref="A5:E6" xr:uid="{00000000-0009-0000-0100-00002D000000}"/>
  <tableColumns count="5">
    <tableColumn id="1" xr3:uid="{00000000-0010-0000-2C00-000001000000}" name="ENTRADA" dataDxfId="991"/>
    <tableColumn id="2" xr3:uid="{00000000-0010-0000-2C00-000002000000}" name="INSS 3%" dataDxfId="990">
      <calculatedColumnFormula>Tabela110141822263034384246[ENTRADA]*3/100</calculatedColumnFormula>
    </tableColumn>
    <tableColumn id="3" xr3:uid="{00000000-0010-0000-2C00-000003000000}" name="DIZIMO 10%" dataDxfId="989">
      <calculatedColumnFormula>Tabela110141822263034384246[ENTRADA]*10/100</calculatedColumnFormula>
    </tableColumn>
    <tableColumn id="4" xr3:uid="{00000000-0010-0000-2C00-000004000000}" name="Renda 87%" dataDxfId="988">
      <calculatedColumnFormula>Tabela110141822263034384246[ENTRADA]-(Tabela110141822263034384246[INSS 3%]+Tabela110141822263034384246[DIZIMO 10%])</calculatedColumnFormula>
    </tableColumn>
    <tableColumn id="5" xr3:uid="{00000000-0010-0000-2C00-000005000000}" name="Sando Final" dataDxfId="987">
      <calculatedColumnFormula>Tabela110141822263034384246[Renda 87%]-(B12+B23+B34)</calculatedColumnFormula>
    </tableColumn>
  </tableColumns>
  <tableStyleInfo name="TableStyleLight8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ela211151923273135394347" displayName="Tabela211151923273135394347" ref="A8:B12" totalsRowShown="0" headerRowDxfId="986" dataDxfId="985">
  <autoFilter ref="A8:B12" xr:uid="{00000000-0009-0000-0100-00002E000000}"/>
  <tableColumns count="2">
    <tableColumn id="1" xr3:uid="{00000000-0010-0000-2D00-000001000000}" name="Dividas" dataDxfId="984"/>
    <tableColumn id="2" xr3:uid="{00000000-0010-0000-2D00-000002000000}" name="Valor" dataDxfId="983">
      <calculatedColumnFormula>SUM(B8:B8)</calculatedColumnFormula>
    </tableColumn>
  </tableColumns>
  <tableStyleInfo name="TableStyleMedium15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ela312162024283236404448" displayName="Tabela312162024283236404448" ref="A25:B34" totalsRowShown="0" headerRowDxfId="982" dataDxfId="981">
  <autoFilter ref="A25:B34" xr:uid="{00000000-0009-0000-0100-00002F000000}"/>
  <sortState xmlns:xlrd2="http://schemas.microsoft.com/office/spreadsheetml/2017/richdata2" ref="A26:B34">
    <sortCondition ref="A25:A34"/>
  </sortState>
  <tableColumns count="2">
    <tableColumn id="1" xr3:uid="{00000000-0010-0000-2E00-000001000000}" name="Familia" dataDxfId="980"/>
    <tableColumn id="2" xr3:uid="{00000000-0010-0000-2E00-000002000000}" name="Valor" dataDxfId="979"/>
  </tableColumns>
  <tableStyleInfo name="TableStyleMedium15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ela413172125293337414549" displayName="Tabela413172125293337414549" ref="A14:B23" totalsRowShown="0" headerRowDxfId="978" dataDxfId="977">
  <autoFilter ref="A14:B23" xr:uid="{00000000-0009-0000-0100-000030000000}"/>
  <tableColumns count="2">
    <tableColumn id="1" xr3:uid="{00000000-0010-0000-2F00-000001000000}" name="Casa " dataDxfId="976"/>
    <tableColumn id="2" xr3:uid="{00000000-0010-0000-2F00-000002000000}" name="Valor" dataDxfId="975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ela11014182226303438424650" displayName="Tabela11014182226303438424650" ref="A5:E6" totalsRowShown="0" headerRowDxfId="974" dataDxfId="973">
  <autoFilter ref="A5:E6" xr:uid="{00000000-0009-0000-0100-000031000000}"/>
  <tableColumns count="5">
    <tableColumn id="1" xr3:uid="{00000000-0010-0000-3000-000001000000}" name="ENTRADA" dataDxfId="972"/>
    <tableColumn id="2" xr3:uid="{00000000-0010-0000-3000-000002000000}" name="INSS 3%" dataDxfId="971">
      <calculatedColumnFormula>Tabela11014182226303438424650[ENTRADA]*3/100</calculatedColumnFormula>
    </tableColumn>
    <tableColumn id="3" xr3:uid="{00000000-0010-0000-3000-000003000000}" name="DIZIMO 10%" dataDxfId="970">
      <calculatedColumnFormula>Tabela11014182226303438424650[ENTRADA]*10/100</calculatedColumnFormula>
    </tableColumn>
    <tableColumn id="4" xr3:uid="{00000000-0010-0000-3000-000004000000}" name="Renda 87%" dataDxfId="969">
      <calculatedColumnFormula>Tabela11014182226303438424650[ENTRADA]-(Tabela11014182226303438424650[INSS 3%]+Tabela11014182226303438424650[DIZIMO 10%])</calculatedColumnFormula>
    </tableColumn>
    <tableColumn id="5" xr3:uid="{00000000-0010-0000-3000-000005000000}" name="Sando Final" dataDxfId="968">
      <calculatedColumnFormula>Tabela11014182226303438424650[Renda 87%]-(B14+B24+B36)</calculatedColumnFormula>
    </tableColumn>
  </tableColumns>
  <tableStyleInfo name="TableStyleLight8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ela21115192327313539434751" displayName="Tabela21115192327313539434751" ref="A8:B14" totalsRowShown="0" headerRowDxfId="967" dataDxfId="966">
  <autoFilter ref="A8:B14" xr:uid="{00000000-0009-0000-0100-000032000000}"/>
  <tableColumns count="2">
    <tableColumn id="1" xr3:uid="{00000000-0010-0000-3100-000001000000}" name="Dividas" dataDxfId="965"/>
    <tableColumn id="2" xr3:uid="{00000000-0010-0000-3100-000002000000}" name="Valor" dataDxfId="964">
      <calculatedColumnFormula>SUM(B8:B8)</calculatedColumnFormula>
    </tableColumn>
  </tableColumns>
  <tableStyleInfo name="TableStyleMedium15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ela31216202428323640444852" displayName="Tabela31216202428323640444852" ref="A26:C36" totalsRowShown="0" headerRowDxfId="963" dataDxfId="962">
  <autoFilter ref="A26:C36" xr:uid="{00000000-0009-0000-0100-000033000000}"/>
  <sortState xmlns:xlrd2="http://schemas.microsoft.com/office/spreadsheetml/2017/richdata2" ref="A27:B36">
    <sortCondition ref="A26:A36"/>
  </sortState>
  <tableColumns count="3">
    <tableColumn id="1" xr3:uid="{00000000-0010-0000-3200-000001000000}" name="Familia" dataDxfId="961"/>
    <tableColumn id="2" xr3:uid="{00000000-0010-0000-3200-000002000000}" name="Valor" dataDxfId="960"/>
    <tableColumn id="3" xr3:uid="{00000000-0010-0000-3200-000003000000}" name="Feito" dataDxfId="959"/>
  </tableColumns>
  <tableStyleInfo name="TableStyleMedium15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ela41317212529333741454953" displayName="Tabela41317212529333741454953" ref="A16:B24" totalsRowShown="0" headerRowDxfId="958" dataDxfId="957">
  <autoFilter ref="A16:B24" xr:uid="{00000000-0009-0000-0100-000034000000}"/>
  <tableColumns count="2">
    <tableColumn id="1" xr3:uid="{00000000-0010-0000-3300-000001000000}" name="Casa " dataDxfId="956"/>
    <tableColumn id="2" xr3:uid="{00000000-0010-0000-3300-000002000000}" name="Valor" dataDxfId="955">
      <calculatedColumnFormula>SUM(B16:B16)</calculatedColumnFormula>
    </tableColumn>
  </tableColumns>
  <tableStyleInfo name="TableStyleMedium15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ela1101418222630343842465054" displayName="Tabela1101418222630343842465054" ref="A5:E6" totalsRowShown="0" headerRowDxfId="954" dataDxfId="953">
  <autoFilter ref="A5:E6" xr:uid="{00000000-0009-0000-0100-000035000000}"/>
  <tableColumns count="5">
    <tableColumn id="1" xr3:uid="{00000000-0010-0000-3400-000001000000}" name="ENTRADA" dataDxfId="952"/>
    <tableColumn id="2" xr3:uid="{00000000-0010-0000-3400-000002000000}" name="INSS 3%" dataDxfId="951">
      <calculatedColumnFormula>Tabela1101418222630343842465054[ENTRADA]*3/100</calculatedColumnFormula>
    </tableColumn>
    <tableColumn id="3" xr3:uid="{00000000-0010-0000-3400-000003000000}" name="DIZIMO 10%" dataDxfId="950">
      <calculatedColumnFormula>Tabela1101418222630343842465054[ENTRADA]*10/100</calculatedColumnFormula>
    </tableColumn>
    <tableColumn id="4" xr3:uid="{00000000-0010-0000-3400-000004000000}" name="Renda 87%" dataDxfId="949">
      <calculatedColumnFormula>Tabela1101418222630343842465054[ENTRADA]-(Tabela1101418222630343842465054[INSS 3%]+Tabela1101418222630343842465054[DIZIMO 10%])</calculatedColumnFormula>
    </tableColumn>
    <tableColumn id="5" xr3:uid="{00000000-0010-0000-3400-000005000000}" name="Sando Final" dataDxfId="948">
      <calculatedColumnFormula>Tabela1101418222630343842465054[Renda 87%]-(B12+B22+B33)</calculatedColumnFormula>
    </tableColumn>
  </tableColumns>
  <tableStyleInfo name="TableStyleLight8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ela2111519232731353943475155" displayName="Tabela2111519232731353943475155" ref="A8:B12" totalsRowShown="0" headerRowDxfId="947" dataDxfId="946">
  <autoFilter ref="A8:B12" xr:uid="{00000000-0009-0000-0100-000036000000}"/>
  <tableColumns count="2">
    <tableColumn id="1" xr3:uid="{00000000-0010-0000-3500-000001000000}" name="Dividas" dataDxfId="945"/>
    <tableColumn id="2" xr3:uid="{00000000-0010-0000-3500-000002000000}" name="Valor" dataDxfId="944">
      <calculatedColumnFormula>SUM(B8:B8)</calculatedColumnFormula>
    </tableColumn>
  </tableColumns>
  <tableStyleInfo name="TableStyleMedium15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ela3121620242832364044485256" displayName="Tabela3121620242832364044485256" ref="A24:C33" totalsRowShown="0" headerRowDxfId="943" dataDxfId="942">
  <autoFilter ref="A24:C33" xr:uid="{00000000-0009-0000-0100-000037000000}"/>
  <sortState xmlns:xlrd2="http://schemas.microsoft.com/office/spreadsheetml/2017/richdata2" ref="A25:B33">
    <sortCondition ref="A24:A33"/>
  </sortState>
  <tableColumns count="3">
    <tableColumn id="1" xr3:uid="{00000000-0010-0000-3600-000001000000}" name="Familia" dataDxfId="941"/>
    <tableColumn id="2" xr3:uid="{00000000-0010-0000-3600-000002000000}" name="Valor" dataDxfId="940"/>
    <tableColumn id="3" xr3:uid="{00000000-0010-0000-3600-000003000000}" name="Feito" dataDxfId="939"/>
  </tableColumns>
  <tableStyleInfo name="TableStyleMedium15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ela4131721252933374145495357" displayName="Tabela4131721252933374145495357" ref="A14:B22" totalsRowShown="0" headerRowDxfId="938" dataDxfId="937">
  <autoFilter ref="A14:B22" xr:uid="{00000000-0009-0000-0100-000038000000}"/>
  <tableColumns count="2">
    <tableColumn id="1" xr3:uid="{00000000-0010-0000-3700-000001000000}" name="Casa " dataDxfId="936"/>
    <tableColumn id="2" xr3:uid="{00000000-0010-0000-3700-000002000000}" name="Valor" dataDxfId="935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ela110141822263034384246505458" displayName="Tabela110141822263034384246505458" ref="A5:E6" totalsRowShown="0" headerRowDxfId="934" dataDxfId="933">
  <autoFilter ref="A5:E6" xr:uid="{00000000-0009-0000-0100-000039000000}"/>
  <tableColumns count="5">
    <tableColumn id="1" xr3:uid="{00000000-0010-0000-3800-000001000000}" name="ENTRADA" dataDxfId="932"/>
    <tableColumn id="2" xr3:uid="{00000000-0010-0000-3800-000002000000}" name="INSS 3%" dataDxfId="931">
      <calculatedColumnFormula>Tabela110141822263034384246505458[ENTRADA]*3/100</calculatedColumnFormula>
    </tableColumn>
    <tableColumn id="3" xr3:uid="{00000000-0010-0000-3800-000003000000}" name="DIZIMO 10%" dataDxfId="930">
      <calculatedColumnFormula>Tabela110141822263034384246505458[ENTRADA]*10/100</calculatedColumnFormula>
    </tableColumn>
    <tableColumn id="4" xr3:uid="{00000000-0010-0000-3800-000004000000}" name="Renda 87%" dataDxfId="929">
      <calculatedColumnFormula>Tabela110141822263034384246505458[ENTRADA]-(Tabela110141822263034384246505458[INSS 3%]+Tabela110141822263034384246505458[DIZIMO 10%])</calculatedColumnFormula>
    </tableColumn>
    <tableColumn id="5" xr3:uid="{00000000-0010-0000-3800-000005000000}" name="Sando Final" dataDxfId="928">
      <calculatedColumnFormula>Tabela110141822263034384246505458[Renda 87%]-(B12+B22+B31)</calculatedColumnFormula>
    </tableColumn>
  </tableColumns>
  <tableStyleInfo name="TableStyleLight8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ela211151923273135394347515559" displayName="Tabela211151923273135394347515559" ref="A8:B12" totalsRowShown="0" headerRowDxfId="927" dataDxfId="926">
  <autoFilter ref="A8:B12" xr:uid="{00000000-0009-0000-0100-00003A000000}"/>
  <tableColumns count="2">
    <tableColumn id="1" xr3:uid="{00000000-0010-0000-3900-000001000000}" name="Dividas" dataDxfId="925"/>
    <tableColumn id="2" xr3:uid="{00000000-0010-0000-3900-000002000000}" name="Valor" dataDxfId="924">
      <calculatedColumnFormula>SUM(B8:B8)</calculatedColumnFormula>
    </tableColumn>
  </tableColumns>
  <tableStyleInfo name="TableStyleMedium15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ela312162024283236404448525660" displayName="Tabela312162024283236404448525660" ref="A24:C31" totalsRowShown="0" headerRowDxfId="923" dataDxfId="922">
  <autoFilter ref="A24:C31" xr:uid="{00000000-0009-0000-0100-00003B000000}"/>
  <sortState xmlns:xlrd2="http://schemas.microsoft.com/office/spreadsheetml/2017/richdata2" ref="A25:B31">
    <sortCondition ref="A24:A31"/>
  </sortState>
  <tableColumns count="3">
    <tableColumn id="1" xr3:uid="{00000000-0010-0000-3A00-000001000000}" name="Familia" dataDxfId="921"/>
    <tableColumn id="2" xr3:uid="{00000000-0010-0000-3A00-000002000000}" name="Valor" dataDxfId="920"/>
    <tableColumn id="3" xr3:uid="{00000000-0010-0000-3A00-000003000000}" name="Feito" dataDxfId="919"/>
  </tableColumns>
  <tableStyleInfo name="TableStyleMedium15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ela413172125293337414549535761" displayName="Tabela413172125293337414549535761" ref="A14:B22" totalsRowShown="0" headerRowDxfId="918" dataDxfId="917">
  <autoFilter ref="A14:B22" xr:uid="{00000000-0009-0000-0100-00003C000000}"/>
  <tableColumns count="2">
    <tableColumn id="1" xr3:uid="{00000000-0010-0000-3B00-000001000000}" name="Casa " dataDxfId="916"/>
    <tableColumn id="2" xr3:uid="{00000000-0010-0000-3B00-000002000000}" name="Valor" dataDxfId="915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ela11014182226303438424650545862" displayName="Tabela11014182226303438424650545862" ref="A5:E6" totalsRowShown="0" headerRowDxfId="914" dataDxfId="913">
  <autoFilter ref="A5:E6" xr:uid="{00000000-0009-0000-0100-00003D000000}"/>
  <tableColumns count="5">
    <tableColumn id="1" xr3:uid="{00000000-0010-0000-3C00-000001000000}" name="ENTRADA" dataDxfId="912">
      <calculatedColumnFormula>42000+2700+1500</calculatedColumnFormula>
    </tableColumn>
    <tableColumn id="2" xr3:uid="{00000000-0010-0000-3C00-000002000000}" name="INSS 3%" dataDxfId="911">
      <calculatedColumnFormula>Tabela11014182226303438424650545862[ENTRADA]*3/100</calculatedColumnFormula>
    </tableColumn>
    <tableColumn id="3" xr3:uid="{00000000-0010-0000-3C00-000003000000}" name="DIZIMO 10%" dataDxfId="910">
      <calculatedColumnFormula>Tabela11014182226303438424650545862[ENTRADA]*10/100</calculatedColumnFormula>
    </tableColumn>
    <tableColumn id="4" xr3:uid="{00000000-0010-0000-3C00-000004000000}" name="Renda 87%" dataDxfId="909">
      <calculatedColumnFormula>Tabela11014182226303438424650545862[ENTRADA]-(Tabela11014182226303438424650545862[INSS 3%]+Tabela11014182226303438424650545862[DIZIMO 10%])</calculatedColumnFormula>
    </tableColumn>
    <tableColumn id="5" xr3:uid="{00000000-0010-0000-3C00-000005000000}" name="Sando Final" dataDxfId="908">
      <calculatedColumnFormula>Tabela11014182226303438424650545862[Renda 87%]-(B12+B22+B31)</calculatedColumnFormula>
    </tableColumn>
  </tableColumns>
  <tableStyleInfo name="TableStyleLight8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ela21115192327313539434751555963" displayName="Tabela21115192327313539434751555963" ref="A8:B12" totalsRowShown="0" headerRowDxfId="907" dataDxfId="906">
  <autoFilter ref="A8:B12" xr:uid="{00000000-0009-0000-0100-00003E000000}"/>
  <tableColumns count="2">
    <tableColumn id="1" xr3:uid="{00000000-0010-0000-3D00-000001000000}" name="Dividas" dataDxfId="905"/>
    <tableColumn id="2" xr3:uid="{00000000-0010-0000-3D00-000002000000}" name="Valor" dataDxfId="904">
      <calculatedColumnFormula>SUM(B8:B8)</calculatedColumnFormula>
    </tableColumn>
  </tableColumns>
  <tableStyleInfo name="TableStyleMedium15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ela31216202428323640444852566064" displayName="Tabela31216202428323640444852566064" ref="A24:C31" totalsRowShown="0" headerRowDxfId="903" dataDxfId="902">
  <autoFilter ref="A24:C31" xr:uid="{00000000-0009-0000-0100-00003F000000}"/>
  <sortState xmlns:xlrd2="http://schemas.microsoft.com/office/spreadsheetml/2017/richdata2" ref="A25:B31">
    <sortCondition ref="A24:A31"/>
  </sortState>
  <tableColumns count="3">
    <tableColumn id="1" xr3:uid="{00000000-0010-0000-3E00-000001000000}" name="Familia" dataDxfId="901"/>
    <tableColumn id="2" xr3:uid="{00000000-0010-0000-3E00-000002000000}" name="Valor" dataDxfId="900"/>
    <tableColumn id="3" xr3:uid="{00000000-0010-0000-3E00-000003000000}" name="Feito" dataDxfId="899"/>
  </tableColumns>
  <tableStyleInfo name="TableStyleMedium15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ela41317212529333741454953576165" displayName="Tabela41317212529333741454953576165" ref="A14:B22" totalsRowShown="0" headerRowDxfId="898" dataDxfId="897">
  <autoFilter ref="A14:B22" xr:uid="{00000000-0009-0000-0100-000040000000}"/>
  <tableColumns count="2">
    <tableColumn id="1" xr3:uid="{00000000-0010-0000-3F00-000001000000}" name="Casa " dataDxfId="896"/>
    <tableColumn id="2" xr3:uid="{00000000-0010-0000-3F00-000002000000}" name="Valor" dataDxfId="895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ela1101418222630343842465054586266" displayName="Tabela1101418222630343842465054586266" ref="A5:E6" totalsRowShown="0" headerRowDxfId="894" dataDxfId="893">
  <autoFilter ref="A5:E6" xr:uid="{00000000-0009-0000-0100-000041000000}"/>
  <tableColumns count="5">
    <tableColumn id="1" xr3:uid="{00000000-0010-0000-4000-000001000000}" name="ENTRADA" dataDxfId="892">
      <calculatedColumnFormula>42000+2700+1500</calculatedColumnFormula>
    </tableColumn>
    <tableColumn id="2" xr3:uid="{00000000-0010-0000-4000-000002000000}" name="INSS 3%" dataDxfId="891">
      <calculatedColumnFormula>Tabela1101418222630343842465054586266[ENTRADA]*3/100</calculatedColumnFormula>
    </tableColumn>
    <tableColumn id="3" xr3:uid="{00000000-0010-0000-4000-000003000000}" name="DIZIMO 10%" dataDxfId="890">
      <calculatedColumnFormula>Tabela1101418222630343842465054586266[ENTRADA]*10/100</calculatedColumnFormula>
    </tableColumn>
    <tableColumn id="4" xr3:uid="{00000000-0010-0000-4000-000004000000}" name="Renda 87%" dataDxfId="889">
      <calculatedColumnFormula>Tabela1101418222630343842465054586266[ENTRADA]-(Tabela1101418222630343842465054586266[INSS 3%]+Tabela1101418222630343842465054586266[DIZIMO 10%])</calculatedColumnFormula>
    </tableColumn>
    <tableColumn id="5" xr3:uid="{00000000-0010-0000-4000-000005000000}" name="Sando Final" dataDxfId="888">
      <calculatedColumnFormula>Tabela1101418222630343842465054586266[Renda 87%]-(B12+B22+B31)</calculatedColumnFormula>
    </tableColumn>
  </tableColumns>
  <tableStyleInfo name="TableStyleLight8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ela2111519232731353943475155596367" displayName="Tabela2111519232731353943475155596367" ref="A8:B12" totalsRowShown="0" headerRowDxfId="887" dataDxfId="886">
  <autoFilter ref="A8:B12" xr:uid="{00000000-0009-0000-0100-000042000000}"/>
  <tableColumns count="2">
    <tableColumn id="1" xr3:uid="{00000000-0010-0000-4100-000001000000}" name="Dividas" dataDxfId="885"/>
    <tableColumn id="2" xr3:uid="{00000000-0010-0000-4100-000002000000}" name="Valor" dataDxfId="884">
      <calculatedColumnFormula>SUM(B8:B8)</calculatedColumnFormula>
    </tableColumn>
  </tableColumns>
  <tableStyleInfo name="TableStyleMedium15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ela3121620242832364044485256606468" displayName="Tabela3121620242832364044485256606468" ref="A24:C31" totalsRowShown="0" headerRowDxfId="883" dataDxfId="882">
  <autoFilter ref="A24:C31" xr:uid="{00000000-0009-0000-0100-000043000000}"/>
  <sortState xmlns:xlrd2="http://schemas.microsoft.com/office/spreadsheetml/2017/richdata2" ref="A25:B31">
    <sortCondition ref="A24:A31"/>
  </sortState>
  <tableColumns count="3">
    <tableColumn id="1" xr3:uid="{00000000-0010-0000-4200-000001000000}" name="Familia" dataDxfId="881"/>
    <tableColumn id="2" xr3:uid="{00000000-0010-0000-4200-000002000000}" name="Valor" dataDxfId="880"/>
    <tableColumn id="3" xr3:uid="{00000000-0010-0000-4200-000003000000}" name="Feito" dataDxfId="879"/>
  </tableColumns>
  <tableStyleInfo name="TableStyleMedium15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ela4131721252933374145495357616569" displayName="Tabela4131721252933374145495357616569" ref="A14:B22" totalsRowShown="0" headerRowDxfId="878" dataDxfId="877">
  <autoFilter ref="A14:B22" xr:uid="{00000000-0009-0000-0100-000044000000}"/>
  <tableColumns count="2">
    <tableColumn id="1" xr3:uid="{00000000-0010-0000-4300-000001000000}" name="Casa " dataDxfId="876"/>
    <tableColumn id="2" xr3:uid="{00000000-0010-0000-4300-000002000000}" name="Valor" dataDxfId="875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ela110141822263034384246505458626670" displayName="Tabela110141822263034384246505458626670" ref="A5:E6" totalsRowShown="0" headerRowDxfId="874" dataDxfId="873">
  <autoFilter ref="A5:E6" xr:uid="{00000000-0009-0000-0100-000045000000}"/>
  <tableColumns count="5">
    <tableColumn id="1" xr3:uid="{00000000-0010-0000-4400-000001000000}" name="ENTRADA" dataDxfId="872">
      <calculatedColumnFormula>42000+2700+1500</calculatedColumnFormula>
    </tableColumn>
    <tableColumn id="2" xr3:uid="{00000000-0010-0000-4400-000002000000}" name="INSS 3%" dataDxfId="871">
      <calculatedColumnFormula>Tabela110141822263034384246505458626670[ENTRADA]*3/100</calculatedColumnFormula>
    </tableColumn>
    <tableColumn id="3" xr3:uid="{00000000-0010-0000-4400-000003000000}" name="DIZIMO 10%" dataDxfId="870">
      <calculatedColumnFormula>Tabela110141822263034384246505458626670[ENTRADA]*10/100</calculatedColumnFormula>
    </tableColumn>
    <tableColumn id="4" xr3:uid="{00000000-0010-0000-4400-000004000000}" name="Renda 87%" dataDxfId="869">
      <calculatedColumnFormula>Tabela110141822263034384246505458626670[ENTRADA]-(Tabela110141822263034384246505458626670[INSS 3%]+Tabela110141822263034384246505458626670[DIZIMO 10%])</calculatedColumnFormula>
    </tableColumn>
    <tableColumn id="5" xr3:uid="{00000000-0010-0000-4400-000005000000}" name="Sando Final" dataDxfId="868">
      <calculatedColumnFormula>Tabela110141822263034384246505458626670[Renda 87%]-(B17+B28+B37)</calculatedColumnFormula>
    </tableColumn>
  </tableColumns>
  <tableStyleInfo name="TableStyleLight8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ela211151923273135394347515559636771" displayName="Tabela211151923273135394347515559636771" ref="A8:B17" totalsRowShown="0" headerRowDxfId="867" dataDxfId="866">
  <autoFilter ref="A8:B17" xr:uid="{00000000-0009-0000-0100-000046000000}"/>
  <tableColumns count="2">
    <tableColumn id="1" xr3:uid="{00000000-0010-0000-4500-000001000000}" name="Dividas" dataDxfId="865"/>
    <tableColumn id="2" xr3:uid="{00000000-0010-0000-4500-000002000000}" name="Valor" dataDxfId="864">
      <calculatedColumnFormula>SUM(B8:B8)</calculatedColumnFormula>
    </tableColumn>
  </tableColumns>
  <tableStyleInfo name="TableStyleMedium15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ela312162024283236404448525660646872" displayName="Tabela312162024283236404448525660646872" ref="A30:C37" totalsRowShown="0" headerRowDxfId="863" dataDxfId="862">
  <autoFilter ref="A30:C37" xr:uid="{00000000-0009-0000-0100-000047000000}"/>
  <sortState xmlns:xlrd2="http://schemas.microsoft.com/office/spreadsheetml/2017/richdata2" ref="A31:B37">
    <sortCondition ref="A30:A37"/>
  </sortState>
  <tableColumns count="3">
    <tableColumn id="1" xr3:uid="{00000000-0010-0000-4600-000001000000}" name="Familia" dataDxfId="861"/>
    <tableColumn id="2" xr3:uid="{00000000-0010-0000-4600-000002000000}" name="Valor" dataDxfId="860"/>
    <tableColumn id="3" xr3:uid="{00000000-0010-0000-4600-000003000000}" name="Feito" dataDxfId="859"/>
  </tableColumns>
  <tableStyleInfo name="TableStyleMedium15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ela413172125293337414549535761656973" displayName="Tabela413172125293337414549535761656973" ref="A19:B28" totalsRowShown="0" headerRowDxfId="858" dataDxfId="857">
  <autoFilter ref="A19:B28" xr:uid="{00000000-0009-0000-0100-000048000000}"/>
  <tableColumns count="2">
    <tableColumn id="1" xr3:uid="{00000000-0010-0000-4700-000001000000}" name="Casa " dataDxfId="856"/>
    <tableColumn id="2" xr3:uid="{00000000-0010-0000-4700-000002000000}" name="Valor" dataDxfId="855">
      <calculatedColumnFormula>SUM(B19:B19)</calculatedColumnFormula>
    </tableColumn>
  </tableColumns>
  <tableStyleInfo name="TableStyleMedium15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ela11014182226303438424650545862667074" displayName="Tabela11014182226303438424650545862667074" ref="A5:E6" totalsRowShown="0" headerRowDxfId="854" dataDxfId="853">
  <autoFilter ref="A5:E6" xr:uid="{00000000-0009-0000-0100-000049000000}"/>
  <tableColumns count="5">
    <tableColumn id="1" xr3:uid="{00000000-0010-0000-4800-000001000000}" name="ENTRADA" dataDxfId="852">
      <calculatedColumnFormula>42000+2700+1500</calculatedColumnFormula>
    </tableColumn>
    <tableColumn id="2" xr3:uid="{00000000-0010-0000-4800-000002000000}" name="INSS 3%" dataDxfId="851">
      <calculatedColumnFormula>Tabela11014182226303438424650545862667074[ENTRADA]*3/100</calculatedColumnFormula>
    </tableColumn>
    <tableColumn id="3" xr3:uid="{00000000-0010-0000-4800-000003000000}" name="DIZIMO 10%" dataDxfId="850">
      <calculatedColumnFormula>Tabela11014182226303438424650545862667074[ENTRADA]*10/100</calculatedColumnFormula>
    </tableColumn>
    <tableColumn id="4" xr3:uid="{00000000-0010-0000-4800-000004000000}" name="Renda 87%" dataDxfId="849">
      <calculatedColumnFormula>Tabela11014182226303438424650545862667074[ENTRADA]-(Tabela11014182226303438424650545862667074[INSS 3%]+Tabela11014182226303438424650545862667074[DIZIMO 10%])</calculatedColumnFormula>
    </tableColumn>
    <tableColumn id="5" xr3:uid="{00000000-0010-0000-4800-000005000000}" name="Sando Final" dataDxfId="848">
      <calculatedColumnFormula>Tabela11014182226303438424650545862667074[Renda 87%]-(B14+B25+B34)</calculatedColumnFormula>
    </tableColumn>
  </tableColumns>
  <tableStyleInfo name="TableStyleLight8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ela21115192327313539434751555963677175" displayName="Tabela21115192327313539434751555963677175" ref="A8:C14" totalsRowShown="0" headerRowDxfId="847" dataDxfId="846">
  <autoFilter ref="A8:C14" xr:uid="{00000000-0009-0000-0100-00004A000000}"/>
  <tableColumns count="3">
    <tableColumn id="1" xr3:uid="{00000000-0010-0000-4900-000001000000}" name="Dividas" dataDxfId="845"/>
    <tableColumn id="2" xr3:uid="{00000000-0010-0000-4900-000002000000}" name="Valor" dataDxfId="844">
      <calculatedColumnFormula>SUM(B8:B8)</calculatedColumnFormula>
    </tableColumn>
    <tableColumn id="3" xr3:uid="{00000000-0010-0000-4900-000003000000}" name="Coluna1" dataDxfId="843"/>
  </tableColumns>
  <tableStyleInfo name="TableStyleMedium15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ela31216202428323640444852566064687276" displayName="Tabela31216202428323640444852566064687276" ref="A27:C34" totalsRowShown="0" headerRowDxfId="842" dataDxfId="841">
  <autoFilter ref="A27:C34" xr:uid="{00000000-0009-0000-0100-00004B000000}"/>
  <sortState xmlns:xlrd2="http://schemas.microsoft.com/office/spreadsheetml/2017/richdata2" ref="A28:B34">
    <sortCondition ref="A27:A34"/>
  </sortState>
  <tableColumns count="3">
    <tableColumn id="1" xr3:uid="{00000000-0010-0000-4A00-000001000000}" name="Familia" dataDxfId="840"/>
    <tableColumn id="2" xr3:uid="{00000000-0010-0000-4A00-000002000000}" name="Valor" dataDxfId="839"/>
    <tableColumn id="3" xr3:uid="{00000000-0010-0000-4A00-000003000000}" name="Feito" dataDxfId="838"/>
  </tableColumns>
  <tableStyleInfo name="TableStyleMedium15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ela41317212529333741454953576165697377" displayName="Tabela41317212529333741454953576165697377" ref="A16:B25" totalsRowShown="0" headerRowDxfId="837" dataDxfId="836">
  <autoFilter ref="A16:B25" xr:uid="{00000000-0009-0000-0100-00004C000000}"/>
  <tableColumns count="2">
    <tableColumn id="1" xr3:uid="{00000000-0010-0000-4B00-000001000000}" name="Casa " dataDxfId="835"/>
    <tableColumn id="2" xr3:uid="{00000000-0010-0000-4B00-000002000000}" name="Valor" dataDxfId="834">
      <calculatedColumnFormula>SUM(B16:B16)</calculatedColumnFormula>
    </tableColumn>
  </tableColumns>
  <tableStyleInfo name="TableStyleMedium15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ela1101418222630343842465054586266707478" displayName="Tabela1101418222630343842465054586266707478" ref="A5:E6" totalsRowShown="0" headerRowDxfId="833" dataDxfId="832">
  <autoFilter ref="A5:E6" xr:uid="{00000000-0009-0000-0100-00004D000000}"/>
  <tableColumns count="5">
    <tableColumn id="1" xr3:uid="{00000000-0010-0000-4C00-000001000000}" name="ENTRADA" dataDxfId="831">
      <calculatedColumnFormula>42000+2700+1500</calculatedColumnFormula>
    </tableColumn>
    <tableColumn id="2" xr3:uid="{00000000-0010-0000-4C00-000002000000}" name="INSS 3%" dataDxfId="830">
      <calculatedColumnFormula>Tabela1101418222630343842465054586266707478[ENTRADA]*3/100</calculatedColumnFormula>
    </tableColumn>
    <tableColumn id="3" xr3:uid="{00000000-0010-0000-4C00-000003000000}" name="DIZIMO 10%" dataDxfId="829">
      <calculatedColumnFormula>Tabela1101418222630343842465054586266707478[ENTRADA]*10/100</calculatedColumnFormula>
    </tableColumn>
    <tableColumn id="4" xr3:uid="{00000000-0010-0000-4C00-000004000000}" name="Renda 87%" dataDxfId="828">
      <calculatedColumnFormula>Tabela1101418222630343842465054586266707478[ENTRADA]-(Tabela1101418222630343842465054586266707478[INSS 3%]+Tabela1101418222630343842465054586266707478[DIZIMO 10%])</calculatedColumnFormula>
    </tableColumn>
    <tableColumn id="5" xr3:uid="{00000000-0010-0000-4C00-000005000000}" name="Sando Final" dataDxfId="827">
      <calculatedColumnFormula>Tabela1101418222630343842465054586266707478[Renda 87%]-(B15+B26+B35)</calculatedColumnFormula>
    </tableColumn>
  </tableColumns>
  <tableStyleInfo name="TableStyleLight8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ela2111519232731353943475155596367717579" displayName="Tabela2111519232731353943475155596367717579" ref="A8:C15" totalsRowShown="0" headerRowDxfId="826" dataDxfId="825">
  <autoFilter ref="A8:C15" xr:uid="{00000000-0009-0000-0100-00004E000000}"/>
  <tableColumns count="3">
    <tableColumn id="1" xr3:uid="{00000000-0010-0000-4D00-000001000000}" name="Dividas" dataDxfId="824"/>
    <tableColumn id="2" xr3:uid="{00000000-0010-0000-4D00-000002000000}" name="Valor" dataDxfId="823">
      <calculatedColumnFormula>SUM(B8:B8)</calculatedColumnFormula>
    </tableColumn>
    <tableColumn id="3" xr3:uid="{00000000-0010-0000-4D00-000003000000}" name="Coluna1" dataDxfId="822"/>
  </tableColumns>
  <tableStyleInfo name="TableStyleMedium15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ela3121620242832364044485256606468727680" displayName="Tabela3121620242832364044485256606468727680" ref="A28:C35" totalsRowShown="0" headerRowDxfId="821" dataDxfId="820">
  <autoFilter ref="A28:C35" xr:uid="{00000000-0009-0000-0100-00004F000000}"/>
  <sortState xmlns:xlrd2="http://schemas.microsoft.com/office/spreadsheetml/2017/richdata2" ref="A28:B34">
    <sortCondition ref="A27:A34"/>
  </sortState>
  <tableColumns count="3">
    <tableColumn id="1" xr3:uid="{00000000-0010-0000-4E00-000001000000}" name="Familia" dataDxfId="819"/>
    <tableColumn id="2" xr3:uid="{00000000-0010-0000-4E00-000002000000}" name="Valor" dataDxfId="818"/>
    <tableColumn id="3" xr3:uid="{00000000-0010-0000-4E00-000003000000}" name="Feito" dataDxfId="817"/>
  </tableColumns>
  <tableStyleInfo name="TableStyleMedium15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ela4131721252933374145495357616569737781" displayName="Tabela4131721252933374145495357616569737781" ref="A17:B26" totalsRowShown="0" headerRowDxfId="816" dataDxfId="815">
  <autoFilter ref="A17:B26" xr:uid="{00000000-0009-0000-0100-000050000000}"/>
  <tableColumns count="2">
    <tableColumn id="1" xr3:uid="{00000000-0010-0000-4F00-000001000000}" name="Casa " dataDxfId="814"/>
    <tableColumn id="2" xr3:uid="{00000000-0010-0000-4F00-000002000000}" name="Valor" dataDxfId="813">
      <calculatedColumnFormula>SUM(B17:B17)</calculatedColumnFormula>
    </tableColumn>
  </tableColumns>
  <tableStyleInfo name="TableStyleMedium15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9816F789-4665-4C2C-BCFC-1FAB8D6FF539}" name="Tabela110141822263034384246505458626670747882" displayName="Tabela110141822263034384246505458626670747882" ref="A5:E6" totalsRowShown="0" headerRowDxfId="812" dataDxfId="811">
  <autoFilter ref="A5:E6" xr:uid="{00000000-0009-0000-0100-00004D000000}"/>
  <tableColumns count="5">
    <tableColumn id="1" xr3:uid="{5C10932B-773A-4684-8E09-2F01B706B7C3}" name="ENTRADA" dataDxfId="810">
      <calculatedColumnFormula>42000+2700+1500</calculatedColumnFormula>
    </tableColumn>
    <tableColumn id="2" xr3:uid="{5C99FA1A-CA77-4054-8393-566D68370D7E}" name="INSS 3%" dataDxfId="809">
      <calculatedColumnFormula>Tabela110141822263034384246505458626670747882[ENTRADA]*3/100</calculatedColumnFormula>
    </tableColumn>
    <tableColumn id="3" xr3:uid="{90D4983B-AE31-4471-B74D-6F41240194D2}" name="DIZIMO 10%" dataDxfId="808">
      <calculatedColumnFormula>Tabela110141822263034384246505458626670747882[ENTRADA]*10/100</calculatedColumnFormula>
    </tableColumn>
    <tableColumn id="4" xr3:uid="{24D85491-DC52-4B65-8345-3358C1D8A45E}" name="Renda 87%" dataDxfId="807">
      <calculatedColumnFormula>Tabela110141822263034384246505458626670747882[ENTRADA]-(Tabela110141822263034384246505458626670747882[INSS 3%]+Tabela110141822263034384246505458626670747882[DIZIMO 10%])</calculatedColumnFormula>
    </tableColumn>
    <tableColumn id="5" xr3:uid="{BC781445-AFDB-45AD-A102-3DB1DF37F1D7}" name="Sando Final" dataDxfId="806">
      <calculatedColumnFormula>Tabela110141822263034384246505458626670747882[Renda 87%]-(B12+B24+B33)</calculatedColumnFormula>
    </tableColumn>
  </tableColumns>
  <tableStyleInfo name="TableStyleLight8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DDC06170-97D2-4268-9C92-4E789B7BD26B}" name="Tabela211151923273135394347515559636771757983" displayName="Tabela211151923273135394347515559636771757983" ref="A8:C12" totalsRowShown="0" headerRowDxfId="805" dataDxfId="804">
  <autoFilter ref="A8:C12" xr:uid="{00000000-0009-0000-0100-00004E000000}"/>
  <tableColumns count="3">
    <tableColumn id="1" xr3:uid="{704FCB6C-45F1-4B93-89AB-B316AB6A4A58}" name="Dividas" dataDxfId="803"/>
    <tableColumn id="2" xr3:uid="{BFD65611-BA25-4011-8595-A03A532AEB25}" name="Valor" dataDxfId="802">
      <calculatedColumnFormula>SUM(B8:B8)</calculatedColumnFormula>
    </tableColumn>
    <tableColumn id="3" xr3:uid="{F09A5CF1-4878-43EB-B118-1FBA577E6086}" name="Coluna1" dataDxfId="801"/>
  </tableColumns>
  <tableStyleInfo name="TableStyleMedium15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51C3812-A768-4295-890D-0B860F5DAD98}" name="Tabela312162024283236404448525660646872768084" displayName="Tabela312162024283236404448525660646872768084" ref="A26:C33" totalsRowShown="0" headerRowDxfId="800" dataDxfId="799">
  <autoFilter ref="A26:C33" xr:uid="{00000000-0009-0000-0100-00004F000000}"/>
  <sortState xmlns:xlrd2="http://schemas.microsoft.com/office/spreadsheetml/2017/richdata2" ref="A27:B33">
    <sortCondition ref="A25:A32"/>
  </sortState>
  <tableColumns count="3">
    <tableColumn id="1" xr3:uid="{D8C4A981-FBAA-42A4-BFEF-63FD1AA62A0F}" name="Familia" dataDxfId="798"/>
    <tableColumn id="2" xr3:uid="{0C30F408-F1DF-492C-9287-FBB49010491A}" name="Valor" dataDxfId="797"/>
    <tableColumn id="3" xr3:uid="{F8E3D1C4-1334-4425-9438-834E2F89100F}" name="Feito" dataDxfId="796"/>
  </tableColumns>
  <tableStyleInfo name="TableStyleMedium15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817393A8-7A15-47D4-9974-CFD9998B3BEF}" name="Tabela413172125293337414549535761656973778185" displayName="Tabela413172125293337414549535761656973778185" ref="A14:B24" totalsRowShown="0" headerRowDxfId="795" dataDxfId="794">
  <autoFilter ref="A14:B24" xr:uid="{00000000-0009-0000-0100-000050000000}"/>
  <tableColumns count="2">
    <tableColumn id="1" xr3:uid="{E0F6DD05-C54A-4088-B563-8FAF54D640BC}" name="Casa " dataDxfId="793"/>
    <tableColumn id="2" xr3:uid="{ABD454A1-09E6-43E1-8D0C-08B1A36C29F9}" name="Valor" dataDxfId="792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A4DCF479-F591-4EC5-B6CB-582EE57E5EB4}" name="Tabela11014182226303438424650545862667074788286" displayName="Tabela11014182226303438424650545862667074788286" ref="A5:E6" totalsRowShown="0" headerRowDxfId="791" dataDxfId="790">
  <autoFilter ref="A5:E6" xr:uid="{00000000-0009-0000-0100-00004D000000}"/>
  <tableColumns count="5">
    <tableColumn id="1" xr3:uid="{C9A361B2-EFCB-4D88-A476-64E642F4DF23}" name="ENTRADA" dataDxfId="789">
      <calculatedColumnFormula>42000+2700+1500</calculatedColumnFormula>
    </tableColumn>
    <tableColumn id="2" xr3:uid="{AED02F5E-C808-4C64-8D84-5D07C8709C51}" name="INSS 3%" dataDxfId="788">
      <calculatedColumnFormula>Tabela11014182226303438424650545862667074788286[ENTRADA]*3/100</calculatedColumnFormula>
    </tableColumn>
    <tableColumn id="3" xr3:uid="{E80469B3-3172-44A4-A9CA-CE0701C539DC}" name="DIZIMO 10%" dataDxfId="787">
      <calculatedColumnFormula>Tabela11014182226303438424650545862667074788286[ENTRADA]*10/100</calculatedColumnFormula>
    </tableColumn>
    <tableColumn id="4" xr3:uid="{2DCFA07F-464D-4E59-A264-445ED25B9B0B}" name="Renda 87%" dataDxfId="786">
      <calculatedColumnFormula>Tabela11014182226303438424650545862667074788286[ENTRADA]-(Tabela11014182226303438424650545862667074788286[INSS 3%]+Tabela11014182226303438424650545862667074788286[DIZIMO 10%])</calculatedColumnFormula>
    </tableColumn>
    <tableColumn id="5" xr3:uid="{125C171C-7F91-467C-BC14-9B3CE69F9E9A}" name="Sando Final" dataDxfId="785">
      <calculatedColumnFormula>Tabela11014182226303438424650545862667074788286[Renda 87%]-(B12+B22+B32)</calculatedColumnFormula>
    </tableColumn>
  </tableColumns>
  <tableStyleInfo name="TableStyleLight8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16C606D9-1172-4281-8365-60BA4706F7DE}" name="Tabela21115192327313539434751555963677175798387" displayName="Tabela21115192327313539434751555963677175798387" ref="A8:C12" totalsRowShown="0" headerRowDxfId="784" dataDxfId="783">
  <autoFilter ref="A8:C12" xr:uid="{00000000-0009-0000-0100-00004E000000}"/>
  <tableColumns count="3">
    <tableColumn id="1" xr3:uid="{91B2D674-9DF4-405C-AA14-077A5F4F6436}" name="Dividas" dataDxfId="782"/>
    <tableColumn id="2" xr3:uid="{BD0F1431-28F1-4595-BBC6-8348A7653CD4}" name="Valor" dataDxfId="781">
      <calculatedColumnFormula>SUM(B8:B8)</calculatedColumnFormula>
    </tableColumn>
    <tableColumn id="3" xr3:uid="{81E3D4C3-A9D9-43E9-A428-A47EC51A017E}" name="Coluna1" dataDxfId="780"/>
  </tableColumns>
  <tableStyleInfo name="TableStyleMedium15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826009D7-E3E3-4901-895A-75FFB115495E}" name="Tabela31216202428323640444852566064687276808488" displayName="Tabela31216202428323640444852566064687276808488" ref="A24:C32" totalsRowShown="0" headerRowDxfId="779" dataDxfId="778">
  <autoFilter ref="A24:C32" xr:uid="{00000000-0009-0000-0100-00004F000000}"/>
  <sortState xmlns:xlrd2="http://schemas.microsoft.com/office/spreadsheetml/2017/richdata2" ref="A25:B32">
    <sortCondition ref="A23:A31"/>
  </sortState>
  <tableColumns count="3">
    <tableColumn id="1" xr3:uid="{2C80FBBF-5E38-4DAC-A2C3-89DDBD8DA4B6}" name="Familia" dataDxfId="777"/>
    <tableColumn id="2" xr3:uid="{0B8AC5C8-E8D8-4C26-BE83-3089279AA19B}" name="Valor" dataDxfId="776"/>
    <tableColumn id="3" xr3:uid="{5D59A446-3655-4CEE-AF57-622133620367}" name="Feito" dataDxfId="775"/>
  </tableColumns>
  <tableStyleInfo name="TableStyleMedium15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7ABE8369-7523-4F7B-9109-5C90E6949B70}" name="Tabela41317212529333741454953576165697377818589" displayName="Tabela41317212529333741454953576165697377818589" ref="A14:B22" totalsRowShown="0" headerRowDxfId="774" dataDxfId="773">
  <autoFilter ref="A14:B22" xr:uid="{00000000-0009-0000-0100-000050000000}"/>
  <tableColumns count="2">
    <tableColumn id="1" xr3:uid="{E8C0B683-E046-4F24-8C74-ECDD3C5AD047}" name="Casa " dataDxfId="772"/>
    <tableColumn id="2" xr3:uid="{6A6BEE88-AD92-4F9C-BDB8-20FD03CAE677}" name="Valor" dataDxfId="771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7E64EFCF-5FBE-42FF-92E7-66934B09CDEE}" name="Tabela1101418222630343842465054586266707478828690" displayName="Tabela1101418222630343842465054586266707478828690" ref="A5:E6" totalsRowShown="0" headerRowDxfId="770" dataDxfId="769">
  <autoFilter ref="A5:E6" xr:uid="{00000000-0009-0000-0100-00004D000000}"/>
  <tableColumns count="5">
    <tableColumn id="1" xr3:uid="{3063AC97-5070-48E1-931C-5E1AA427D707}" name="ENTRADA" dataDxfId="768">
      <calculatedColumnFormula>42000+2700+1500</calculatedColumnFormula>
    </tableColumn>
    <tableColumn id="2" xr3:uid="{31AA3920-EC39-423B-99EB-B4F33256C181}" name="INSS 3%" dataDxfId="767">
      <calculatedColumnFormula>Tabela1101418222630343842465054586266707478828690[ENTRADA]*3/100</calculatedColumnFormula>
    </tableColumn>
    <tableColumn id="3" xr3:uid="{6335E007-4543-48A8-9813-11842628735A}" name="DIZIMO 10%" dataDxfId="766">
      <calculatedColumnFormula>Tabela1101418222630343842465054586266707478828690[ENTRADA]*10/100</calculatedColumnFormula>
    </tableColumn>
    <tableColumn id="4" xr3:uid="{B79837B6-9438-449C-B8DF-147C502EDA95}" name="Renda 87%" dataDxfId="765">
      <calculatedColumnFormula>Tabela1101418222630343842465054586266707478828690[ENTRADA]-(Tabela1101418222630343842465054586266707478828690[INSS 3%]+Tabela1101418222630343842465054586266707478828690[DIZIMO 10%])</calculatedColumnFormula>
    </tableColumn>
    <tableColumn id="5" xr3:uid="{4DAF7862-9033-45B4-BA34-29753A85D1F2}" name="Sando Final" dataDxfId="764">
      <calculatedColumnFormula>Tabela1101418222630343842465054586266707478828690[Renda 87%]-(B11+B21+B31)</calculatedColumnFormula>
    </tableColumn>
  </tableColumns>
  <tableStyleInfo name="TableStyleLight8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AA148F6B-490E-400B-99BE-24F0A1A9265F}" name="Tabela2111519232731353943475155596367717579838791" displayName="Tabela2111519232731353943475155596367717579838791" ref="A8:C11" totalsRowShown="0" headerRowDxfId="763" dataDxfId="762">
  <autoFilter ref="A8:C11" xr:uid="{00000000-0009-0000-0100-00004E000000}"/>
  <tableColumns count="3">
    <tableColumn id="1" xr3:uid="{B727EA8C-C77F-480B-870D-526F2651474F}" name="Dividas" dataDxfId="761"/>
    <tableColumn id="2" xr3:uid="{A26CE7C6-D059-4580-BF14-907625826925}" name="Valor" dataDxfId="760">
      <calculatedColumnFormula>SUM(B8:B8)</calculatedColumnFormula>
    </tableColumn>
    <tableColumn id="3" xr3:uid="{79547818-9342-4BCE-A2D0-2DA849B8EC52}" name="Coluna1" dataDxfId="759"/>
  </tableColumns>
  <tableStyleInfo name="TableStyleMedium15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6C5D1BB9-6302-4863-A980-02BB4C09EBFB}" name="Tabela3121620242832364044485256606468727680848892" displayName="Tabela3121620242832364044485256606468727680848892" ref="A23:C31" totalsRowShown="0" headerRowDxfId="758" dataDxfId="757">
  <autoFilter ref="A23:C31" xr:uid="{00000000-0009-0000-0100-00004F000000}"/>
  <sortState xmlns:xlrd2="http://schemas.microsoft.com/office/spreadsheetml/2017/richdata2" ref="A24:B31">
    <sortCondition ref="A22:A30"/>
  </sortState>
  <tableColumns count="3">
    <tableColumn id="1" xr3:uid="{A7E27345-DD8F-44DD-B6B3-8EB6E6C1CAF1}" name="Familia" dataDxfId="756"/>
    <tableColumn id="2" xr3:uid="{61F3C01A-E269-423F-8093-AFE710599538}" name="Valor" dataDxfId="755"/>
    <tableColumn id="3" xr3:uid="{BCDED263-28FB-4534-B5A2-13080C257E26}" name="Feito" dataDxfId="754"/>
  </tableColumns>
  <tableStyleInfo name="TableStyleMedium15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0887EAB-DCBA-4CDB-9423-AE4D6A179F43}" name="Tabela4131721252933374145495357616569737781858993" displayName="Tabela4131721252933374145495357616569737781858993" ref="A13:B21" totalsRowShown="0" headerRowDxfId="753" dataDxfId="752">
  <autoFilter ref="A13:B21" xr:uid="{00000000-0009-0000-0100-000050000000}"/>
  <tableColumns count="2">
    <tableColumn id="1" xr3:uid="{AA071816-5190-4CC4-8BCE-94D5F2D30BBB}" name="Casa " dataDxfId="751"/>
    <tableColumn id="2" xr3:uid="{97CB7DF6-6E4A-4283-B39E-BA11D83CC26F}" name="Valor" dataDxfId="750">
      <calculatedColumnFormula>SUM(B13:B13)</calculatedColumnFormula>
    </tableColumn>
  </tableColumns>
  <tableStyleInfo name="TableStyleMedium15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8E6042A6-8230-4314-B028-790DC01710C9}" name="Tabela110141822263034384246505458626670747882869094" displayName="Tabela110141822263034384246505458626670747882869094" ref="A5:E6" totalsRowShown="0" headerRowDxfId="749" dataDxfId="748">
  <autoFilter ref="A5:E6" xr:uid="{00000000-0009-0000-0100-00004D000000}"/>
  <tableColumns count="5">
    <tableColumn id="1" xr3:uid="{E8948747-0BEF-42E4-80C3-C09E65CB8B82}" name="ENTRADA" dataDxfId="747">
      <calculatedColumnFormula>42000+2700+1500</calculatedColumnFormula>
    </tableColumn>
    <tableColumn id="2" xr3:uid="{0A7F6042-8C34-47A8-88B5-7EE3101C02A6}" name="INSS 3%" dataDxfId="746">
      <calculatedColumnFormula>Tabela110141822263034384246505458626670747882869094[ENTRADA]*3/100</calculatedColumnFormula>
    </tableColumn>
    <tableColumn id="3" xr3:uid="{A4027E14-CA45-4B2F-A6DE-603BB5648E3D}" name="DIZIMO 10%" dataDxfId="745">
      <calculatedColumnFormula>Tabela110141822263034384246505458626670747882869094[ENTRADA]*10/100</calculatedColumnFormula>
    </tableColumn>
    <tableColumn id="4" xr3:uid="{6BE65274-D026-407E-9CCC-DFD9506B9790}" name="Renda 87%" dataDxfId="744">
      <calculatedColumnFormula>Tabela110141822263034384246505458626670747882869094[ENTRADA]-(Tabela110141822263034384246505458626670747882869094[INSS 3%]+Tabela110141822263034384246505458626670747882869094[DIZIMO 10%])</calculatedColumnFormula>
    </tableColumn>
    <tableColumn id="5" xr3:uid="{89C6A815-725E-4856-9E86-707ABE785D28}" name="Sando Final" dataDxfId="743">
      <calculatedColumnFormula>Tabela110141822263034384246505458626670747882869094[Renda 87%]-(B14+B24+B33)</calculatedColumnFormula>
    </tableColumn>
  </tableColumns>
  <tableStyleInfo name="TableStyleLight8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3B357511-4C3E-499B-A452-1A4A70903D5D}" name="Tabela211151923273135394347515559636771757983879195" displayName="Tabela211151923273135394347515559636771757983879195" ref="A8:C14" totalsRowShown="0" headerRowDxfId="742" dataDxfId="741">
  <autoFilter ref="A8:C14" xr:uid="{00000000-0009-0000-0100-00004E000000}"/>
  <tableColumns count="3">
    <tableColumn id="1" xr3:uid="{679D04D7-6A00-43AE-9CA4-7A9B075FF0E1}" name="Dividas" dataDxfId="740"/>
    <tableColumn id="2" xr3:uid="{7740165A-04A1-4F57-B76A-5727AF210E72}" name="Valor" dataDxfId="739">
      <calculatedColumnFormula>SUM(B8:B8)</calculatedColumnFormula>
    </tableColumn>
    <tableColumn id="3" xr3:uid="{01B2D129-439D-40D9-8B5F-15B26E3AEACA}" name="Coluna1" dataDxfId="738"/>
  </tableColumns>
  <tableStyleInfo name="TableStyleMedium15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D9BC9827-FF12-4D19-8EA0-4B82F3EAB255}" name="Tabela312162024283236404448525660646872768084889296" displayName="Tabela312162024283236404448525660646872768084889296" ref="A26:C33" totalsRowShown="0" headerRowDxfId="737" dataDxfId="736">
  <autoFilter ref="A26:C33" xr:uid="{00000000-0009-0000-0100-00004F000000}"/>
  <sortState xmlns:xlrd2="http://schemas.microsoft.com/office/spreadsheetml/2017/richdata2" ref="A27:B33">
    <sortCondition ref="A25:A32"/>
  </sortState>
  <tableColumns count="3">
    <tableColumn id="1" xr3:uid="{FF9C1ABB-34CA-47E2-B94A-CC2AD5B34698}" name="Familia" dataDxfId="735"/>
    <tableColumn id="2" xr3:uid="{316F9448-AE82-4E8F-B449-15D500C2B5D8}" name="Valor" dataDxfId="734"/>
    <tableColumn id="3" xr3:uid="{E556A7C2-8A32-4140-8F0A-6D95B70A0D6D}" name="Feito" dataDxfId="733"/>
  </tableColumns>
  <tableStyleInfo name="TableStyleMedium15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2AAAE6CC-BEC4-43FD-8DCC-EEA95996807D}" name="Tabela413172125293337414549535761656973778185899397" displayName="Tabela413172125293337414549535761656973778185899397" ref="A16:B24" totalsRowShown="0" headerRowDxfId="732" dataDxfId="731">
  <autoFilter ref="A16:B24" xr:uid="{00000000-0009-0000-0100-000050000000}"/>
  <tableColumns count="2">
    <tableColumn id="1" xr3:uid="{9E0972A0-FEA5-4284-89BF-262F0A4FDEEC}" name="Casa " dataDxfId="730"/>
    <tableColumn id="2" xr3:uid="{1EA21B46-44AA-4EF9-8B2C-CDBE04A084EB}" name="Valor" dataDxfId="729">
      <calculatedColumnFormula>SUM(B16:B16)</calculatedColumnFormula>
    </tableColumn>
  </tableColumns>
  <tableStyleInfo name="TableStyleMedium15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1CCCF3A-08ED-42AC-A334-40BECDECCA87}" name="Tabela11014182226303438424650545862667074788286909498" displayName="Tabela11014182226303438424650545862667074788286909498" ref="A5:E6" totalsRowShown="0" headerRowDxfId="728" dataDxfId="727">
  <autoFilter ref="A5:E6" xr:uid="{00000000-0009-0000-0100-00004D000000}"/>
  <tableColumns count="5">
    <tableColumn id="1" xr3:uid="{1E733C78-81D4-4E21-8050-CCE144142DED}" name="ENTRADA" dataDxfId="726">
      <calculatedColumnFormula>46200+2000+2975</calculatedColumnFormula>
    </tableColumn>
    <tableColumn id="2" xr3:uid="{23E941CB-15B0-4C0E-A01A-58CBE10F083E}" name="INSS 3%" dataDxfId="725">
      <calculatedColumnFormula>Tabela11014182226303438424650545862667074788286909498[ENTRADA]*3/100</calculatedColumnFormula>
    </tableColumn>
    <tableColumn id="3" xr3:uid="{2C120C21-3F22-4794-869C-392E0E0F5A7D}" name="DIZIMO 10%" dataDxfId="724">
      <calculatedColumnFormula>Tabela11014182226303438424650545862667074788286909498[ENTRADA]*10/100</calculatedColumnFormula>
    </tableColumn>
    <tableColumn id="4" xr3:uid="{CCFFFE99-DC56-4FE4-B8AD-55D597BD6133}" name="Renda 87%" dataDxfId="723">
      <calculatedColumnFormula>Tabela11014182226303438424650545862667074788286909498[ENTRADA]-(Tabela11014182226303438424650545862667074788286909498[INSS 3%]+Tabela11014182226303438424650545862667074788286909498[DIZIMO 10%])</calculatedColumnFormula>
    </tableColumn>
    <tableColumn id="5" xr3:uid="{0B9129F3-50A0-4445-A115-3DF3DFA83B65}" name="Sando Final" dataDxfId="722">
      <calculatedColumnFormula>Tabela11014182226303438424650545862667074788286909498[Renda 87%]-(B10+B20+B29)</calculatedColumnFormula>
    </tableColumn>
  </tableColumns>
  <tableStyleInfo name="TableStyleLight8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3F3785A-BF6A-489C-A376-FD1417C6EDEF}" name="Tabela21115192327313539434751555963677175798387919599" displayName="Tabela21115192327313539434751555963677175798387919599" ref="A8:C10" totalsRowShown="0" headerRowDxfId="721" dataDxfId="720">
  <autoFilter ref="A8:C10" xr:uid="{00000000-0009-0000-0100-00004E000000}"/>
  <tableColumns count="3">
    <tableColumn id="1" xr3:uid="{C54C0CFA-0DE1-4EFD-B898-A1F2106A12CF}" name="Dividas" dataDxfId="719"/>
    <tableColumn id="2" xr3:uid="{9312154C-D881-498D-B79E-26CC2E00146B}" name="Valor" dataDxfId="718">
      <calculatedColumnFormula>SUM(B8:B8)</calculatedColumnFormula>
    </tableColumn>
    <tableColumn id="3" xr3:uid="{689E5A9D-F59F-4220-8B70-FEC442DB3BD7}" name="Obs" dataDxfId="717"/>
  </tableColumns>
  <tableStyleInfo name="TableStyleMedium15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E4B4F302-389F-4423-A9F1-9860353EACD7}" name="Tabela312162024283236404448525660646872768084889296100" displayName="Tabela312162024283236404448525660646872768084889296100" ref="A22:C29" totalsRowShown="0" headerRowDxfId="716" dataDxfId="715">
  <autoFilter ref="A22:C29" xr:uid="{00000000-0009-0000-0100-00004F000000}"/>
  <sortState xmlns:xlrd2="http://schemas.microsoft.com/office/spreadsheetml/2017/richdata2" ref="A23:B29">
    <sortCondition ref="A21:A28"/>
  </sortState>
  <tableColumns count="3">
    <tableColumn id="1" xr3:uid="{E15BAD1F-86E7-483C-AB3C-FB792B6EDD3D}" name="Familia" dataDxfId="714"/>
    <tableColumn id="2" xr3:uid="{D24C6351-092C-483A-8887-752813D3D395}" name="Valor" dataDxfId="713"/>
    <tableColumn id="3" xr3:uid="{4799B860-EFE3-4285-A412-BA11B59E33DA}" name="Obs" dataDxfId="712"/>
  </tableColumns>
  <tableStyleInfo name="TableStyleMedium15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B1AB5710-61E6-40B7-AF9F-61DFB9FD8BE4}" name="Tabela413172125293337414549535761656973778185899397101" displayName="Tabela413172125293337414549535761656973778185899397101" ref="A12:B20" totalsRowShown="0" headerRowDxfId="711" dataDxfId="710">
  <autoFilter ref="A12:B20" xr:uid="{00000000-0009-0000-0100-000050000000}"/>
  <tableColumns count="2">
    <tableColumn id="1" xr3:uid="{3D9C25B8-7E3A-43EF-BCDB-88C184B21C69}" name="Casa " dataDxfId="709"/>
    <tableColumn id="2" xr3:uid="{C450150F-9876-4F5D-A03C-9C9314975145}" name="Valor" dataDxfId="708">
      <calculatedColumnFormula>SUM(B12:B12)</calculatedColumnFormula>
    </tableColumn>
  </tableColumns>
  <tableStyleInfo name="TableStyleMedium15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902E3C00-845F-4946-A449-BA44C73ACAD3}" name="Tabela11014182226303438424650545862667074788286909498102" displayName="Tabela11014182226303438424650545862667074788286909498102" ref="A5:E6" totalsRowShown="0" headerRowDxfId="707" dataDxfId="706">
  <autoFilter ref="A5:E6" xr:uid="{00000000-0009-0000-0100-00004D000000}"/>
  <tableColumns count="5">
    <tableColumn id="1" xr3:uid="{A5181154-205E-4833-A61C-608961B774A0}" name="ENTRADA" dataDxfId="705">
      <calculatedColumnFormula>46200+2000+2975</calculatedColumnFormula>
    </tableColumn>
    <tableColumn id="2" xr3:uid="{60E25278-D912-4D61-A851-CB474D20B726}" name="INSS 3%" dataDxfId="704">
      <calculatedColumnFormula>Tabela11014182226303438424650545862667074788286909498102[ENTRADA]*3/100</calculatedColumnFormula>
    </tableColumn>
    <tableColumn id="3" xr3:uid="{FE2C5635-69A9-41CE-8E48-D6617E904C97}" name="DIZIMO 10%" dataDxfId="703">
      <calculatedColumnFormula>Tabela11014182226303438424650545862667074788286909498102[ENTRADA]*10/100</calculatedColumnFormula>
    </tableColumn>
    <tableColumn id="4" xr3:uid="{70B7F211-5691-4140-9318-CAF7A2AA2394}" name="Renda 87%" dataDxfId="702">
      <calculatedColumnFormula>Tabela11014182226303438424650545862667074788286909498102[ENTRADA]-(Tabela11014182226303438424650545862667074788286909498102[INSS 3%]+Tabela11014182226303438424650545862667074788286909498102[DIZIMO 10%])</calculatedColumnFormula>
    </tableColumn>
    <tableColumn id="5" xr3:uid="{2F736A10-2764-40AB-8317-4DB5A6AF8227}" name="Sando Final" dataDxfId="701">
      <calculatedColumnFormula>Tabela11014182226303438424650545862667074788286909498102[Renda 87%]-(B12+B25+B33)</calculatedColumnFormula>
    </tableColumn>
  </tableColumns>
  <tableStyleInfo name="TableStyleLight8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FB9CC65C-6153-470F-9666-1BD5FE020167}" name="Tabela21115192327313539434751555963677175798387919599103" displayName="Tabela21115192327313539434751555963677175798387919599103" ref="A8:C12" totalsRowShown="0" headerRowDxfId="700" dataDxfId="699">
  <autoFilter ref="A8:C12" xr:uid="{00000000-0009-0000-0100-00004E000000}"/>
  <tableColumns count="3">
    <tableColumn id="1" xr3:uid="{7722C3B2-ADAB-49FD-B3E1-8D4B51E2B7D3}" name="Dividas" dataDxfId="698"/>
    <tableColumn id="2" xr3:uid="{5103007C-2ACC-456F-AF8D-16B70C09BCC1}" name="Valor" dataDxfId="697">
      <calculatedColumnFormula>SUM(B8:B8)</calculatedColumnFormula>
    </tableColumn>
    <tableColumn id="3" xr3:uid="{BDA70A7D-B0B7-4212-917F-FFE8729F774C}" name="Obs" dataDxfId="696"/>
  </tableColumns>
  <tableStyleInfo name="TableStyleMedium15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122E606D-CABD-4BB8-A431-EBB5BFF12ADF}" name="Tabela312162024283236404448525660646872768084889296100104" displayName="Tabela312162024283236404448525660646872768084889296100104" ref="A27:C33" totalsRowShown="0" headerRowDxfId="695" dataDxfId="694">
  <autoFilter ref="A27:C33" xr:uid="{00000000-0009-0000-0100-00004F000000}"/>
  <sortState xmlns:xlrd2="http://schemas.microsoft.com/office/spreadsheetml/2017/richdata2" ref="A28:B33">
    <sortCondition ref="A26:A32"/>
  </sortState>
  <tableColumns count="3">
    <tableColumn id="1" xr3:uid="{816CD603-7DD7-416C-8A1C-2908560F9563}" name="Familia" dataDxfId="693"/>
    <tableColumn id="2" xr3:uid="{58E8C974-19EA-425A-90AE-3EDD12B3E91C}" name="Valor" dataDxfId="692"/>
    <tableColumn id="3" xr3:uid="{099FF169-6F24-4D80-91C8-02869FB34978}" name="Obs" dataDxfId="691"/>
  </tableColumns>
  <tableStyleInfo name="TableStyleMedium15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C96BD5E7-A89F-401E-A0F2-FA3DAFBEA21A}" name="Tabela413172125293337414549535761656973778185899397101105" displayName="Tabela413172125293337414549535761656973778185899397101105" ref="A14:B25" totalsRowShown="0" headerRowDxfId="690" dataDxfId="689">
  <autoFilter ref="A14:B25" xr:uid="{00000000-0009-0000-0100-000050000000}"/>
  <tableColumns count="2">
    <tableColumn id="1" xr3:uid="{37196DB3-CB84-436F-9CA3-87610814285E}" name="Casa " dataDxfId="688"/>
    <tableColumn id="2" xr3:uid="{CC26F159-21EE-40B9-B6D8-7BFF21213EAF}" name="Valor" dataDxfId="687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F12B50FC-2039-4258-B118-A0621CF32D19}" name="Tabela11014182226303438424650545862667074788286909498102106" displayName="Tabela11014182226303438424650545862667074788286909498102106" ref="A5:E6" totalsRowShown="0" headerRowDxfId="686" dataDxfId="685">
  <autoFilter ref="A5:E6" xr:uid="{00000000-0009-0000-0100-00004D000000}"/>
  <tableColumns count="5">
    <tableColumn id="1" xr3:uid="{15F7409A-0FAC-4675-B3F4-62FC33ABDC82}" name="ENTRADA" dataDxfId="684"/>
    <tableColumn id="2" xr3:uid="{B4228159-DF36-4FF2-B8BD-EC2E1B6C8F9F}" name="INSS 3%" dataDxfId="683">
      <calculatedColumnFormula>Tabela11014182226303438424650545862667074788286909498102106[ENTRADA]*3/100</calculatedColumnFormula>
    </tableColumn>
    <tableColumn id="3" xr3:uid="{DEBAE2B5-5527-4C45-AA74-D20B59D22874}" name="DIZIMO 10%" dataDxfId="682">
      <calculatedColumnFormula>Tabela11014182226303438424650545862667074788286909498102106[ENTRADA]*10/100</calculatedColumnFormula>
    </tableColumn>
    <tableColumn id="4" xr3:uid="{A4919336-ED4B-4BB9-A2BE-1681D9796E71}" name="Renda 87%" dataDxfId="681">
      <calculatedColumnFormula>Tabela11014182226303438424650545862667074788286909498102106[ENTRADA]-(Tabela11014182226303438424650545862667074788286909498102106[INSS 3%]+Tabela11014182226303438424650545862667074788286909498102106[DIZIMO 10%])</calculatedColumnFormula>
    </tableColumn>
    <tableColumn id="5" xr3:uid="{8B668580-C740-4DAB-A111-BF49B269A4B4}" name="Sando Final" dataDxfId="680">
      <calculatedColumnFormula>Tabela11014182226303438424650545862667074788286909498102106[Renda 87%]-(B12+B22+B30)</calculatedColumnFormula>
    </tableColumn>
  </tableColumns>
  <tableStyleInfo name="TableStyleLight8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A69149E4-DB63-45BF-AAB4-A35E13570CE4}" name="Tabela21115192327313539434751555963677175798387919599103107" displayName="Tabela21115192327313539434751555963677175798387919599103107" ref="A8:C12" totalsRowShown="0" headerRowDxfId="679" dataDxfId="678">
  <autoFilter ref="A8:C12" xr:uid="{00000000-0009-0000-0100-00004E000000}"/>
  <tableColumns count="3">
    <tableColumn id="1" xr3:uid="{3F83410A-A665-49BE-97E0-01F264C72829}" name="Dividas" dataDxfId="677"/>
    <tableColumn id="2" xr3:uid="{BA01806E-501D-44FB-A596-2CDB7D2FDF02}" name="Valor" dataDxfId="676">
      <calculatedColumnFormula>SUM(B8:B8)</calculatedColumnFormula>
    </tableColumn>
    <tableColumn id="3" xr3:uid="{A799A3F6-0DD0-4CC8-822D-3E4653900E49}" name="Obs" dataDxfId="675"/>
  </tableColumns>
  <tableStyleInfo name="TableStyleMedium15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6AE80FDA-528E-486C-9895-387E5797F24E}" name="Tabela312162024283236404448525660646872768084889296100104108" displayName="Tabela312162024283236404448525660646872768084889296100104108" ref="A24:C30" totalsRowShown="0" headerRowDxfId="674" dataDxfId="673">
  <autoFilter ref="A24:C30" xr:uid="{00000000-0009-0000-0100-00004F000000}"/>
  <sortState xmlns:xlrd2="http://schemas.microsoft.com/office/spreadsheetml/2017/richdata2" ref="A25:B30">
    <sortCondition ref="A23:A29"/>
  </sortState>
  <tableColumns count="3">
    <tableColumn id="1" xr3:uid="{82F387AB-5E00-4365-839E-81FDED740E71}" name="Familia" dataDxfId="672"/>
    <tableColumn id="2" xr3:uid="{941350DE-ECF8-4C53-85F4-61C3D4BD7581}" name="Valor" dataDxfId="671"/>
    <tableColumn id="3" xr3:uid="{3B29A536-9471-4F2F-93B1-EDBAF88AEDDB}" name="Obs" dataDxfId="670"/>
  </tableColumns>
  <tableStyleInfo name="TableStyleMedium15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64A7C682-2FDC-429D-A837-67113329ADC7}" name="Tabela413172125293337414549535761656973778185899397101105109" displayName="Tabela413172125293337414549535761656973778185899397101105109" ref="A14:B22" totalsRowShown="0" headerRowDxfId="669" dataDxfId="668">
  <autoFilter ref="A14:B22" xr:uid="{00000000-0009-0000-0100-000050000000}"/>
  <tableColumns count="2">
    <tableColumn id="1" xr3:uid="{09891907-3667-4B7A-BB06-96C42F619A6E}" name="Casa " dataDxfId="667"/>
    <tableColumn id="2" xr3:uid="{23F1F0F8-99DB-4E40-A544-2770698AA24C}" name="Valor" dataDxfId="666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70E1B67C-B70C-429D-A98E-31826E3B4BBB}" name="Tabela11014182226303438424650545862667074788286909498102106110" displayName="Tabela11014182226303438424650545862667074788286909498102106110" ref="A5:E6" totalsRowShown="0" headerRowDxfId="665" dataDxfId="664">
  <autoFilter ref="A5:E6" xr:uid="{00000000-0009-0000-0100-00004D000000}"/>
  <tableColumns count="5">
    <tableColumn id="1" xr3:uid="{BBCC02BD-9D1D-4322-AFC5-382A3BC83BB1}" name="ENTRADA" dataDxfId="663">
      <calculatedColumnFormula>29750+2500</calculatedColumnFormula>
    </tableColumn>
    <tableColumn id="2" xr3:uid="{48F6C864-80AE-448D-AC0A-E8203C9051E4}" name="INSS 3%" dataDxfId="662">
      <calculatedColumnFormula>Tabela11014182226303438424650545862667074788286909498102106110[ENTRADA]*3/100</calculatedColumnFormula>
    </tableColumn>
    <tableColumn id="3" xr3:uid="{F4F114D7-B651-4FC0-A32C-D11FC3B0DF99}" name="DIZIMO 10%" dataDxfId="661">
      <calculatedColumnFormula>Tabela11014182226303438424650545862667074788286909498102106110[ENTRADA]*10/100</calculatedColumnFormula>
    </tableColumn>
    <tableColumn id="4" xr3:uid="{5E1A3A49-1EA0-4926-8EE5-CF69330C78C0}" name="Renda 87%" dataDxfId="660">
      <calculatedColumnFormula>Tabela11014182226303438424650545862667074788286909498102106110[ENTRADA]-(Tabela11014182226303438424650545862667074788286909498102106110[INSS 3%]+Tabela11014182226303438424650545862667074788286909498102106110[DIZIMO 10%])</calculatedColumnFormula>
    </tableColumn>
    <tableColumn id="5" xr3:uid="{5CF28B32-8C77-443E-BE80-84CC93458010}" name="Sando Final" dataDxfId="659">
      <calculatedColumnFormula>Tabela11014182226303438424650545862667074788286909498102106110[Renda 87%]-(B12+B22+B31)</calculatedColumnFormula>
    </tableColumn>
  </tableColumns>
  <tableStyleInfo name="TableStyleLight8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FD51883A-5317-4405-9FBB-5426B464F1D3}" name="Tabela21115192327313539434751555963677175798387919599103107111" displayName="Tabela21115192327313539434751555963677175798387919599103107111" ref="A8:C12" totalsRowShown="0" headerRowDxfId="658" dataDxfId="657">
  <autoFilter ref="A8:C12" xr:uid="{00000000-0009-0000-0100-00004E000000}"/>
  <tableColumns count="3">
    <tableColumn id="1" xr3:uid="{CFC0CC9A-5B1E-484F-AC1F-8BC0EAEAD644}" name="Dividas" dataDxfId="656"/>
    <tableColumn id="2" xr3:uid="{B39F2584-D4F1-4266-A0FD-BC4BD74D6EC8}" name="Valor" dataDxfId="655">
      <calculatedColumnFormula>SUM(B8:B8)</calculatedColumnFormula>
    </tableColumn>
    <tableColumn id="3" xr3:uid="{3B0F6C8E-E7FE-468A-8BE5-36A55BBD9AAD}" name="Obs" dataDxfId="654"/>
  </tableColumns>
  <tableStyleInfo name="TableStyleMedium15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912BA304-A1FE-40AC-8FB0-2C595F113F81}" name="Tabela312162024283236404448525660646872768084889296100104108112" displayName="Tabela312162024283236404448525660646872768084889296100104108112" ref="A24:C31" totalsRowShown="0" headerRowDxfId="653" dataDxfId="652">
  <autoFilter ref="A24:C31" xr:uid="{00000000-0009-0000-0100-00004F000000}"/>
  <sortState xmlns:xlrd2="http://schemas.microsoft.com/office/spreadsheetml/2017/richdata2" ref="A25:B31">
    <sortCondition ref="A23:A30"/>
  </sortState>
  <tableColumns count="3">
    <tableColumn id="1" xr3:uid="{ACA272FA-DBC1-4FEA-AD21-078988E9C841}" name="Familia" dataDxfId="651"/>
    <tableColumn id="2" xr3:uid="{2B292261-EB79-45FF-8916-9F49BB1111E1}" name="Valor" dataDxfId="650"/>
    <tableColumn id="3" xr3:uid="{69BB6444-9B88-47E9-B128-C4878673D0E4}" name="Obs" dataDxfId="649"/>
  </tableColumns>
  <tableStyleInfo name="TableStyleMedium15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C87938B9-A6F8-4EAE-B6D9-0EC1EE58BD57}" name="Tabela413172125293337414549535761656973778185899397101105109113" displayName="Tabela413172125293337414549535761656973778185899397101105109113" ref="A14:B22" totalsRowShown="0" headerRowDxfId="648" dataDxfId="647">
  <autoFilter ref="A14:B22" xr:uid="{00000000-0009-0000-0100-000050000000}"/>
  <tableColumns count="2">
    <tableColumn id="1" xr3:uid="{FD5EF73A-4E39-4D1D-B22E-2F5FE2FF8185}" name="Casa " dataDxfId="646"/>
    <tableColumn id="2" xr3:uid="{3D077428-9C6A-4180-B68C-87269DF2DA23}" name="Valor" dataDxfId="645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E06B678C-1B78-694C-8E69-8450FA862F4F}" name="Tabela11014182226303438424650545862667074788286909498102106110114" displayName="Tabela11014182226303438424650545862667074788286909498102106110114" ref="A5:E6" totalsRowShown="0" headerRowDxfId="644" dataDxfId="643">
  <autoFilter ref="A5:E6" xr:uid="{00000000-0009-0000-0100-00004D000000}"/>
  <tableColumns count="5">
    <tableColumn id="1" xr3:uid="{7D0FE407-54C9-B44D-B4C3-7CEC086C0BE3}" name="ENTRADA" dataDxfId="642">
      <calculatedColumnFormula>46200+2000+2975</calculatedColumnFormula>
    </tableColumn>
    <tableColumn id="2" xr3:uid="{38FE8A8F-0003-EC43-94AE-A966974F1015}" name="INSS 3%" dataDxfId="641">
      <calculatedColumnFormula>Tabela11014182226303438424650545862667074788286909498102106110114[ENTRADA]*3/100</calculatedColumnFormula>
    </tableColumn>
    <tableColumn id="3" xr3:uid="{74BC3475-E475-9F43-8729-5E3EBAD871B8}" name="DIZIMO 10%" dataDxfId="640">
      <calculatedColumnFormula>Tabela11014182226303438424650545862667074788286909498102106110114[ENTRADA]*10/100</calculatedColumnFormula>
    </tableColumn>
    <tableColumn id="4" xr3:uid="{D87B3F8B-A5FF-0E4F-BDFC-045F88D7D385}" name="Renda 87%" dataDxfId="639">
      <calculatedColumnFormula>Tabela11014182226303438424650545862667074788286909498102106110114[ENTRADA]-(Tabela11014182226303438424650545862667074788286909498102106110114[INSS 3%]+Tabela11014182226303438424650545862667074788286909498102106110114[DIZIMO 10%])</calculatedColumnFormula>
    </tableColumn>
    <tableColumn id="5" xr3:uid="{F2999758-2BAC-A74B-AFAC-10D4F5F342A4}" name="Sando Final" dataDxfId="638">
      <calculatedColumnFormula>Tabela11014182226303438424650545862667074788286909498102106110114[Renda 87%]-(B12+B22+B31)</calculatedColumnFormula>
    </tableColumn>
  </tableColumns>
  <tableStyleInfo name="TableStyleLight8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7B9BC72A-05CA-6049-8209-0D44E2BD3E01}" name="Tabela21115192327313539434751555963677175798387919599103107111115" displayName="Tabela21115192327313539434751555963677175798387919599103107111115" ref="A8:C12" totalsRowShown="0" headerRowDxfId="637" dataDxfId="636">
  <autoFilter ref="A8:C12" xr:uid="{00000000-0009-0000-0100-00004E000000}"/>
  <tableColumns count="3">
    <tableColumn id="1" xr3:uid="{AE9E70CE-FDBB-A145-B468-80699FB0763B}" name="Dividas" dataDxfId="635"/>
    <tableColumn id="2" xr3:uid="{982CF6D7-AB73-AD4E-BD30-44739454E881}" name="Valor" dataDxfId="634">
      <calculatedColumnFormula>SUM(B8:B8)</calculatedColumnFormula>
    </tableColumn>
    <tableColumn id="3" xr3:uid="{84C89029-B8FB-6745-889B-B1365461B220}" name="Obs" dataDxfId="633"/>
  </tableColumns>
  <tableStyleInfo name="TableStyleMedium15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D32CAF68-F67B-E14F-B085-EC93F5B674A0}" name="Tabela312162024283236404448525660646872768084889296100104108112116" displayName="Tabela312162024283236404448525660646872768084889296100104108112116" ref="A24:C31" totalsRowShown="0" headerRowDxfId="632" dataDxfId="631">
  <autoFilter ref="A24:C31" xr:uid="{00000000-0009-0000-0100-00004F000000}"/>
  <sortState xmlns:xlrd2="http://schemas.microsoft.com/office/spreadsheetml/2017/richdata2" ref="A25:B31">
    <sortCondition ref="A23:A30"/>
  </sortState>
  <tableColumns count="3">
    <tableColumn id="1" xr3:uid="{431DB812-9F7E-424E-8AE2-3F589633578C}" name="Familia" dataDxfId="630"/>
    <tableColumn id="2" xr3:uid="{D1DD4487-7D58-1841-BDD3-641891AA17BC}" name="Valor" dataDxfId="629"/>
    <tableColumn id="3" xr3:uid="{F5D2CD17-D686-CC49-9078-C6284E67A57D}" name="Obs" dataDxfId="628"/>
  </tableColumns>
  <tableStyleInfo name="TableStyleMedium15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D01EEF62-0613-EC4D-91E8-F7331C971B9B}" name="Tabela413172125293337414549535761656973778185899397101105109113117" displayName="Tabela413172125293337414549535761656973778185899397101105109113117" ref="A14:B22" totalsRowShown="0" headerRowDxfId="627" dataDxfId="626">
  <autoFilter ref="A14:B22" xr:uid="{00000000-0009-0000-0100-000050000000}"/>
  <tableColumns count="2">
    <tableColumn id="1" xr3:uid="{1534D524-2E88-8B4D-B1B6-B6435C5C6921}" name="Casa " dataDxfId="625"/>
    <tableColumn id="2" xr3:uid="{B54408B2-40ED-6C4A-BA2E-BE674A8A755B}" name="Valor" dataDxfId="624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C577FD7-3CF5-4A31-901C-759D61CD9391}" name="Tabela11014182226303438424650545862667074788286909498102106110114118" displayName="Tabela11014182226303438424650545862667074788286909498102106110114118" ref="A5:E6" totalsRowShown="0" headerRowDxfId="623" dataDxfId="622">
  <autoFilter ref="A5:E6" xr:uid="{00000000-0009-0000-0100-00004D000000}"/>
  <tableColumns count="5">
    <tableColumn id="1" xr3:uid="{FBFA00E1-9EB9-41C1-8D12-A58470817662}" name="ENTRADA" dataDxfId="621">
      <calculatedColumnFormula>46200+2000+2975</calculatedColumnFormula>
    </tableColumn>
    <tableColumn id="2" xr3:uid="{1E9ED786-8088-4C72-A6AD-CAEA644B9C59}" name="INSS 3%" dataDxfId="620">
      <calculatedColumnFormula>Tabela11014182226303438424650545862667074788286909498102106110114118[ENTRADA]*3/100</calculatedColumnFormula>
    </tableColumn>
    <tableColumn id="3" xr3:uid="{EED17478-A0F3-4198-AAC9-CD65F684D964}" name="DIZIMO 10%" dataDxfId="619">
      <calculatedColumnFormula>Tabela11014182226303438424650545862667074788286909498102106110114118[ENTRADA]*10/100</calculatedColumnFormula>
    </tableColumn>
    <tableColumn id="4" xr3:uid="{2E98744A-8385-4C01-89E8-9B83349C75C0}" name="Renda 87%" dataDxfId="618">
      <calculatedColumnFormula>Tabela11014182226303438424650545862667074788286909498102106110114118[ENTRADA]-(Tabela11014182226303438424650545862667074788286909498102106110114118[INSS 3%]+Tabela11014182226303438424650545862667074788286909498102106110114118[DIZIMO 10%])</calculatedColumnFormula>
    </tableColumn>
    <tableColumn id="5" xr3:uid="{75983106-A3FF-4AB3-9254-C3B68C938104}" name="Sando Final" dataDxfId="617">
      <calculatedColumnFormula>Tabela11014182226303438424650545862667074788286909498102106110114118[Renda 87%]-(B12+B23+B32)</calculatedColumnFormula>
    </tableColumn>
  </tableColumns>
  <tableStyleInfo name="TableStyleLight8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8762167C-11BF-47E1-BFF0-235F01070FD9}" name="Tabela21115192327313539434751555963677175798387919599103107111115119" displayName="Tabela21115192327313539434751555963677175798387919599103107111115119" ref="A8:C12" totalsRowShown="0" headerRowDxfId="616" dataDxfId="615">
  <autoFilter ref="A8:C12" xr:uid="{00000000-0009-0000-0100-00004E000000}"/>
  <tableColumns count="3">
    <tableColumn id="1" xr3:uid="{0B972030-C471-45BA-9ACE-EE27D94C3E88}" name="Dividas" dataDxfId="614"/>
    <tableColumn id="2" xr3:uid="{EB54F3C2-1F85-49D4-A0A8-1F0E2989B320}" name="Valor" dataDxfId="613">
      <calculatedColumnFormula>SUM(B8:B8)</calculatedColumnFormula>
    </tableColumn>
    <tableColumn id="3" xr3:uid="{FAA4D5D7-0A70-4608-A2E1-81BBCC2748A5}" name="Obs" dataDxfId="612"/>
  </tableColumns>
  <tableStyleInfo name="TableStyleMedium15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41DD33D6-2DBB-4148-B355-EA677A830B01}" name="Tabela312162024283236404448525660646872768084889296100104108112116120" displayName="Tabela312162024283236404448525660646872768084889296100104108112116120" ref="A25:C32" totalsRowShown="0" headerRowDxfId="611" dataDxfId="610">
  <autoFilter ref="A25:C32" xr:uid="{00000000-0009-0000-0100-00004F000000}"/>
  <sortState xmlns:xlrd2="http://schemas.microsoft.com/office/spreadsheetml/2017/richdata2" ref="A26:B32">
    <sortCondition ref="A24:A31"/>
  </sortState>
  <tableColumns count="3">
    <tableColumn id="1" xr3:uid="{CBBFF87F-E1B2-4172-8ADD-E2BC6DDF2DCA}" name="Familia" dataDxfId="609"/>
    <tableColumn id="2" xr3:uid="{F9BD1C4F-E312-470E-81D0-6D75C6C39CFC}" name="Valor" dataDxfId="608"/>
    <tableColumn id="3" xr3:uid="{00CA23AE-0B56-466D-B99E-BC8BB0D40B58}" name="Obs" dataDxfId="607"/>
  </tableColumns>
  <tableStyleInfo name="TableStyleMedium15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90678BB-D3F1-4090-A7E2-81511FF64C21}" name="Tabela413172125293337414549535761656973778185899397101105109113117121" displayName="Tabela413172125293337414549535761656973778185899397101105109113117121" ref="A14:B23" totalsRowShown="0" headerRowDxfId="606" dataDxfId="605">
  <autoFilter ref="A14:B23" xr:uid="{00000000-0009-0000-0100-000050000000}"/>
  <tableColumns count="2">
    <tableColumn id="1" xr3:uid="{1F81C1AC-B840-4C17-8F5A-183AF8883FF1}" name="Casa " dataDxfId="604"/>
    <tableColumn id="2" xr3:uid="{367F44C8-B634-4CA1-8A3E-D07D99847049}" name="Valor" dataDxfId="603">
      <calculatedColumnFormula>SUM(B14:B14)</calculatedColumnFormula>
    </tableColumn>
  </tableColumns>
  <tableStyleInfo name="TableStyleMedium15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7E252F6A-31A2-2543-81DA-29290D2A8FB0}" name="Tabela11014182226303438424650545862667074788286909498102106110114118122" displayName="Tabela11014182226303438424650545862667074788286909498102106110114118122" ref="A5:E6" totalsRowShown="0" headerRowDxfId="602" dataDxfId="601">
  <autoFilter ref="A5:E6" xr:uid="{00000000-0009-0000-0100-00004D000000}"/>
  <tableColumns count="5">
    <tableColumn id="1" xr3:uid="{6DCC4C0E-2E35-1E42-8101-7FADBAA8B74E}" name="ENTRADA" dataDxfId="600">
      <calculatedColumnFormula>46200+2000+2975</calculatedColumnFormula>
    </tableColumn>
    <tableColumn id="2" xr3:uid="{325655AE-D8DC-5A40-85C8-DF8E3D06D481}" name="INSS 3%" dataDxfId="599">
      <calculatedColumnFormula>Tabela11014182226303438424650545862667074788286909498102106110114118122[ENTRADA]*3/100</calculatedColumnFormula>
    </tableColumn>
    <tableColumn id="3" xr3:uid="{EFB7622A-B77D-9A4D-A096-CEA188E30F40}" name="DIZIMO 10%" dataDxfId="598">
      <calculatedColumnFormula>Tabela11014182226303438424650545862667074788286909498102106110114118122[ENTRADA]*10/100</calculatedColumnFormula>
    </tableColumn>
    <tableColumn id="4" xr3:uid="{7EBB800A-065B-9344-8655-E6FA8ECC8647}" name="Renda 87%" dataDxfId="597">
      <calculatedColumnFormula>Tabela11014182226303438424650545862667074788286909498102106110114118122[ENTRADA]-(Tabela11014182226303438424650545862667074788286909498102106110114118122[INSS 3%]+Tabela11014182226303438424650545862667074788286909498102106110114118122[DIZIMO 10%])</calculatedColumnFormula>
    </tableColumn>
    <tableColumn id="5" xr3:uid="{9E1D3977-3F8A-0742-B649-423E1ADE5A9D}" name="Sando Final" dataDxfId="596">
      <calculatedColumnFormula>Tabela11014182226303438424650545862667074788286909498102106110114118122[Renda 87%]-(B13+B25+B34)</calculatedColumnFormula>
    </tableColumn>
  </tableColumns>
  <tableStyleInfo name="TableStyleLight8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D1D68C6D-AF0F-654E-A259-7021A75ECF3F}" name="Tabela21115192327313539434751555963677175798387919599103107111115119123" displayName="Tabela21115192327313539434751555963677175798387919599103107111115119123" ref="A8:C13" totalsRowShown="0" headerRowDxfId="595" dataDxfId="594">
  <autoFilter ref="A8:C13" xr:uid="{00000000-0009-0000-0100-00004E000000}"/>
  <tableColumns count="3">
    <tableColumn id="1" xr3:uid="{6E6BBCDA-EA97-874E-BF3F-55DF37666975}" name="Dividas" dataDxfId="593"/>
    <tableColumn id="2" xr3:uid="{E1543FF2-D7E6-4F44-95BA-4F940844EB0D}" name="Valor" dataDxfId="592">
      <calculatedColumnFormula>SUM(B8:B8)</calculatedColumnFormula>
    </tableColumn>
    <tableColumn id="3" xr3:uid="{E0DF3CFA-70E1-7D49-B690-50517B031F50}" name="Obs" dataDxfId="591"/>
  </tableColumns>
  <tableStyleInfo name="TableStyleMedium15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C85C868C-DC29-434F-8D6A-2D8A7D7E4881}" name="Tabela312162024283236404448525660646872768084889296100104108112116120124" displayName="Tabela312162024283236404448525660646872768084889296100104108112116120124" ref="A27:C34" totalsRowShown="0" headerRowDxfId="590" dataDxfId="589">
  <autoFilter ref="A27:C34" xr:uid="{00000000-0009-0000-0100-00004F000000}"/>
  <sortState xmlns:xlrd2="http://schemas.microsoft.com/office/spreadsheetml/2017/richdata2" ref="A28:B34">
    <sortCondition ref="A26:A33"/>
  </sortState>
  <tableColumns count="3">
    <tableColumn id="1" xr3:uid="{D0EC5145-FEB5-214A-9395-FA36AFCB47A0}" name="Familia" dataDxfId="588"/>
    <tableColumn id="2" xr3:uid="{662ECB32-6DC8-014A-8E17-E18E91D77458}" name="Valor" dataDxfId="587"/>
    <tableColumn id="3" xr3:uid="{D36AFF9A-5334-AA46-86E4-EE77FF9B23FF}" name="Obs" dataDxfId="586"/>
  </tableColumns>
  <tableStyleInfo name="TableStyleMedium15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1D692B13-92FB-7B48-9E59-770AA819EC4A}" name="Tabela413172125293337414549535761656973778185899397101105109113117121125" displayName="Tabela413172125293337414549535761656973778185899397101105109113117121125" ref="A15:B25" totalsRowShown="0" headerRowDxfId="585" dataDxfId="584">
  <autoFilter ref="A15:B25" xr:uid="{00000000-0009-0000-0100-000050000000}"/>
  <tableColumns count="2">
    <tableColumn id="1" xr3:uid="{AEC18A9B-D89D-1240-853D-5C573B7C66B9}" name="Casa " dataDxfId="583"/>
    <tableColumn id="2" xr3:uid="{17162433-C0E2-324A-84FD-E4BF03E49D22}" name="Valor" dataDxfId="582">
      <calculatedColumnFormula>SUM(B15:B15)</calculatedColumnFormula>
    </tableColumn>
  </tableColumns>
  <tableStyleInfo name="TableStyleMedium15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2C8E0E45-4B55-3F42-BD7E-A2F1F7A2DBBB}" name="Tabela11014182226303438424650545862667074788286909498102106110114118122126130" displayName="Tabela11014182226303438424650545862667074788286909498102106110114118122126130" ref="A5:E6" totalsRowShown="0" headerRowDxfId="581" dataDxfId="580">
  <autoFilter ref="A5:E6" xr:uid="{00000000-0009-0000-0100-00004D000000}"/>
  <tableColumns count="5">
    <tableColumn id="1" xr3:uid="{C6FE5E42-10F3-7C40-82B7-2436EF6806E1}" name="ENTRADA" dataDxfId="579">
      <calculatedColumnFormula>46200+2000+2975</calculatedColumnFormula>
    </tableColumn>
    <tableColumn id="2" xr3:uid="{B7D1A71B-D630-1846-9362-5775BB53FC3E}" name="INSS 3%" dataDxfId="578">
      <calculatedColumnFormula>Tabela11014182226303438424650545862667074788286909498102106110114118122126130[ENTRADA]*3/100</calculatedColumnFormula>
    </tableColumn>
    <tableColumn id="3" xr3:uid="{AED5C051-1EC2-D845-9523-CA285C169310}" name="DIZIMO 10%" dataDxfId="577">
      <calculatedColumnFormula>Tabela11014182226303438424650545862667074788286909498102106110114118122126130[ENTRADA]*10/100</calculatedColumnFormula>
    </tableColumn>
    <tableColumn id="4" xr3:uid="{D3D38327-DA28-A145-AB81-F29DAB88A633}" name="Renda 87%" dataDxfId="576">
      <calculatedColumnFormula>Tabela11014182226303438424650545862667074788286909498102106110114118122126130[ENTRADA]-(Tabela11014182226303438424650545862667074788286909498102106110114118122126130[INSS 3%]+Tabela11014182226303438424650545862667074788286909498102106110114118122126130[DIZIMO 10%])</calculatedColumnFormula>
    </tableColumn>
    <tableColumn id="5" xr3:uid="{6F1F9628-A841-0843-884A-675AD4B60AEA}" name="Sando Final" dataDxfId="575">
      <calculatedColumnFormula>Tabela11014182226303438424650545862667074788286909498102106110114118122126130[Renda 87%]-(B11+B22+B32)</calculatedColumnFormula>
    </tableColumn>
  </tableColumns>
  <tableStyleInfo name="TableStyleLight8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5009C575-2D3A-854B-87EE-347FAE72FC03}" name="Tabela21115192327313539434751555963677175798387919599103107111115119123127131" displayName="Tabela21115192327313539434751555963677175798387919599103107111115119123127131" ref="A8:C11" totalsRowShown="0" headerRowDxfId="574" dataDxfId="573">
  <autoFilter ref="A8:C11" xr:uid="{00000000-0009-0000-0100-00004E000000}"/>
  <tableColumns count="3">
    <tableColumn id="1" xr3:uid="{322373A3-9E75-EC44-82C7-59DCF0970764}" name="Dividas" dataDxfId="572"/>
    <tableColumn id="2" xr3:uid="{48265172-2748-3F49-B4CC-C6F480289E75}" name="Valor" dataDxfId="571">
      <calculatedColumnFormula>SUM(B8:B8)</calculatedColumnFormula>
    </tableColumn>
    <tableColumn id="3" xr3:uid="{419315FB-F387-0844-A407-37DE0A395560}" name="Obs" dataDxfId="570"/>
  </tableColumns>
  <tableStyleInfo name="TableStyleMedium15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336B1A34-D08D-0D45-8E64-FE8345D788D2}" name="Tabela312162024283236404448525660646872768084889296100104108112116120124128132" displayName="Tabela312162024283236404448525660646872768084889296100104108112116120124128132" ref="A24:C32" totalsRowShown="0" headerRowDxfId="569" dataDxfId="568">
  <autoFilter ref="A24:C32" xr:uid="{00000000-0009-0000-0100-00004F000000}"/>
  <sortState xmlns:xlrd2="http://schemas.microsoft.com/office/spreadsheetml/2017/richdata2" ref="A25:B32">
    <sortCondition ref="A23:A31"/>
  </sortState>
  <tableColumns count="3">
    <tableColumn id="1" xr3:uid="{EEAB4074-BFFA-2742-A83C-E4F07D8FAF0D}" name="Familia" dataDxfId="567"/>
    <tableColumn id="2" xr3:uid="{F1BCE5EC-BED7-0447-AEF8-EEA7ED0305B3}" name="Valor" dataDxfId="566"/>
    <tableColumn id="3" xr3:uid="{23BD21AC-AC45-B945-9A3E-49081376CE33}" name="Obs" dataDxfId="565"/>
  </tableColumns>
  <tableStyleInfo name="TableStyleMedium15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CD22A03-E09F-0048-ADBB-5C3A423A0CC6}" name="Tabela413172125293337414549535761656973778185899397101105109113117121125129133" displayName="Tabela413172125293337414549535761656973778185899397101105109113117121125129133" ref="A13:C22" totalsRowShown="0" headerRowDxfId="564" dataDxfId="563">
  <autoFilter ref="A13:C22" xr:uid="{00000000-0009-0000-0100-000050000000}"/>
  <tableColumns count="3">
    <tableColumn id="1" xr3:uid="{7D63643E-4A5A-A240-8972-D113949ED4E3}" name="Casa " dataDxfId="562"/>
    <tableColumn id="2" xr3:uid="{A61E0241-815D-244A-ACAD-E871F318D22B}" name="Valor" dataDxfId="561">
      <calculatedColumnFormula>SUM(B13:B13)</calculatedColumnFormula>
    </tableColumn>
    <tableColumn id="3" xr3:uid="{88EDB532-73F4-CF4E-8B0D-E609262DA1D5}" name="Coluna1" dataDxfId="560"/>
  </tableColumns>
  <tableStyleInfo name="TableStyleMedium15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9A16636C-8E4A-894B-9B54-7E936FEE5D2C}" name="Tabela11014182226303438424650545862667074788286909498102106110114118122126" displayName="Tabela11014182226303438424650545862667074788286909498102106110114118122126" ref="A5:E6" totalsRowShown="0" headerRowDxfId="559" dataDxfId="558">
  <autoFilter ref="A5:E6" xr:uid="{00000000-0009-0000-0100-00004D000000}"/>
  <tableColumns count="5">
    <tableColumn id="1" xr3:uid="{6B441AE2-F4D9-A54A-98B4-3C4F74761284}" name="ENTRADA" dataDxfId="557">
      <calculatedColumnFormula>46200+2000+2975</calculatedColumnFormula>
    </tableColumn>
    <tableColumn id="2" xr3:uid="{7F9CF497-F231-D641-AD0E-4CD3E60903F8}" name="INSS 3%" dataDxfId="556">
      <calculatedColumnFormula>Tabela11014182226303438424650545862667074788286909498102106110114118122126[ENTRADA]*3/100</calculatedColumnFormula>
    </tableColumn>
    <tableColumn id="3" xr3:uid="{FFDD2D13-917F-9B41-AF14-FA190626A9CB}" name="DIZIMO 10%" dataDxfId="555">
      <calculatedColumnFormula>Tabela11014182226303438424650545862667074788286909498102106110114118122126[ENTRADA]*10/100</calculatedColumnFormula>
    </tableColumn>
    <tableColumn id="4" xr3:uid="{EB8D0353-FE23-E943-8D13-595BCBEE0200}" name="Renda 87%" dataDxfId="554">
      <calculatedColumnFormula>Tabela11014182226303438424650545862667074788286909498102106110114118122126[ENTRADA]-(Tabela11014182226303438424650545862667074788286909498102106110114118122126[INSS 3%]+Tabela11014182226303438424650545862667074788286909498102106110114118122126[DIZIMO 10%])</calculatedColumnFormula>
    </tableColumn>
    <tableColumn id="5" xr3:uid="{FF01A503-1561-E24F-9712-0B2AC86F5435}" name="Sando Final" dataDxfId="553">
      <calculatedColumnFormula>Tabela11014182226303438424650545862667074788286909498102106110114118122126[Renda 87%]-(B11+B22+B32)</calculatedColumnFormula>
    </tableColumn>
  </tableColumns>
  <tableStyleInfo name="TableStyleLight8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CA620AF5-179B-124F-810C-79D58421E3C5}" name="Tabela21115192327313539434751555963677175798387919599103107111115119123127" displayName="Tabela21115192327313539434751555963677175798387919599103107111115119123127" ref="A8:C11" totalsRowShown="0" headerRowDxfId="552" dataDxfId="551">
  <autoFilter ref="A8:C11" xr:uid="{00000000-0009-0000-0100-00004E000000}"/>
  <tableColumns count="3">
    <tableColumn id="1" xr3:uid="{D99BC786-F5EA-C74F-BBC5-923CE654FBF4}" name="Dividas" dataDxfId="550"/>
    <tableColumn id="2" xr3:uid="{D64B9886-C7B7-D44A-9B5D-522C6BD30F26}" name="Valor" dataDxfId="549">
      <calculatedColumnFormula>SUM(B8:B8)</calculatedColumnFormula>
    </tableColumn>
    <tableColumn id="3" xr3:uid="{B4958C6C-6B01-2340-B852-81A28D52FF3A}" name="Obs" dataDxfId="548"/>
  </tableColumns>
  <tableStyleInfo name="TableStyleMedium15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B9925691-735F-8249-AAD1-A06058B22360}" name="Tabela312162024283236404448525660646872768084889296100104108112116120124128" displayName="Tabela312162024283236404448525660646872768084889296100104108112116120124128" ref="A24:C32" totalsRowShown="0" headerRowDxfId="547" dataDxfId="546">
  <autoFilter ref="A24:C32" xr:uid="{00000000-0009-0000-0100-00004F000000}"/>
  <sortState xmlns:xlrd2="http://schemas.microsoft.com/office/spreadsheetml/2017/richdata2" ref="A25:B32">
    <sortCondition ref="A23:A31"/>
  </sortState>
  <tableColumns count="3">
    <tableColumn id="1" xr3:uid="{18155D8A-BF5E-6C4D-A513-B2540350C96E}" name="Familia" dataDxfId="545"/>
    <tableColumn id="2" xr3:uid="{6E47854A-D6F3-B548-BF7F-A91918AAA61E}" name="Valor" dataDxfId="544"/>
    <tableColumn id="3" xr3:uid="{1C2503A4-DC8A-AE46-8999-4036F3AFB417}" name="Obs" dataDxfId="543"/>
  </tableColumns>
  <tableStyleInfo name="TableStyleMedium15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5F307B68-0B1D-A443-A4B0-A9D4427CC170}" name="Tabela413172125293337414549535761656973778185899397101105109113117121125129" displayName="Tabela413172125293337414549535761656973778185899397101105109113117121125129" ref="A13:C22" totalsRowShown="0" headerRowDxfId="542" dataDxfId="541">
  <autoFilter ref="A13:C22" xr:uid="{00000000-0009-0000-0100-000050000000}"/>
  <tableColumns count="3">
    <tableColumn id="1" xr3:uid="{732E21F4-3EB4-E44D-BF4E-DE42849260B2}" name="Casa " dataDxfId="540"/>
    <tableColumn id="2" xr3:uid="{DDC83839-D479-DA4C-94B9-38C843087F6A}" name="Valor" dataDxfId="539">
      <calculatedColumnFormula>SUM(B13:B13)</calculatedColumnFormula>
    </tableColumn>
    <tableColumn id="3" xr3:uid="{64B0034D-81FA-ED4A-876D-60C79FFF8DED}" name="Coluna1" dataDxfId="538"/>
  </tableColumns>
  <tableStyleInfo name="TableStyleMedium15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864E0FA9-FA57-7A46-867F-ADC0E115B538}" name="Tabela11014182226303438424650545862667074788286909498102106110114118122126134" displayName="Tabela11014182226303438424650545862667074788286909498102106110114118122126134" ref="A5:E6" totalsRowShown="0" headerRowDxfId="537" dataDxfId="536">
  <autoFilter ref="A5:E6" xr:uid="{00000000-0009-0000-0100-00004D000000}"/>
  <tableColumns count="5">
    <tableColumn id="1" xr3:uid="{EF062647-7C9E-FD45-8F23-299815438DF3}" name="ENTRADA" dataDxfId="535">
      <calculatedColumnFormula>32725+18150</calculatedColumnFormula>
    </tableColumn>
    <tableColumn id="2" xr3:uid="{4D16314F-E229-534B-B62C-A7013B343D0B}" name="INSS 3%" dataDxfId="534">
      <calculatedColumnFormula>Tabela11014182226303438424650545862667074788286909498102106110114118122126134[ENTRADA]*3/100</calculatedColumnFormula>
    </tableColumn>
    <tableColumn id="3" xr3:uid="{D93CF9E2-5084-3046-B901-994BFCD9CB65}" name="DIZIMO 10%" dataDxfId="533">
      <calculatedColumnFormula>Tabela11014182226303438424650545862667074788286909498102106110114118122126134[ENTRADA]*10/100</calculatedColumnFormula>
    </tableColumn>
    <tableColumn id="4" xr3:uid="{4B414A34-3B90-7F48-8F86-D3C3EE7B1696}" name="Renda 87%" dataDxfId="532">
      <calculatedColumnFormula>Tabela11014182226303438424650545862667074788286909498102106110114118122126134[ENTRADA]-(Tabela11014182226303438424650545862667074788286909498102106110114118122126134[INSS 3%]+Tabela11014182226303438424650545862667074788286909498102106110114118122126134[DIZIMO 10%])</calculatedColumnFormula>
    </tableColumn>
    <tableColumn id="5" xr3:uid="{D33EAEA8-43D6-4B44-AD0A-C576370CB3EE}" name="Sando Final" dataDxfId="531">
      <calculatedColumnFormula>Tabela11014182226303438424650545862667074788286909498102106110114118122126134[Renda 87%]-(B11+B21+B30)</calculatedColumnFormula>
    </tableColumn>
  </tableColumns>
  <tableStyleInfo name="TableStyleLight8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DD2DF854-A368-FF45-92AC-FA93214AA5A5}" name="Tabela21115192327313539434751555963677175798387919599103107111115119123127135" displayName="Tabela21115192327313539434751555963677175798387919599103107111115119123127135" ref="A8:C11" totalsRowShown="0" headerRowDxfId="530" dataDxfId="529">
  <autoFilter ref="A8:C11" xr:uid="{00000000-0009-0000-0100-00004E000000}"/>
  <tableColumns count="3">
    <tableColumn id="1" xr3:uid="{B082D68E-0D3A-D246-939E-66D626ECAFC7}" name="Dividas" dataDxfId="528"/>
    <tableColumn id="2" xr3:uid="{6EAE5D33-CB58-0049-85E5-3244B9D1839B}" name="Valor" dataDxfId="527">
      <calculatedColumnFormula>SUM(B8:B8)</calculatedColumnFormula>
    </tableColumn>
    <tableColumn id="3" xr3:uid="{4C1E3D62-3541-864C-848D-8DC9420465EA}" name="Obs" dataDxfId="526"/>
  </tableColumns>
  <tableStyleInfo name="TableStyleMedium15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26CE871C-3511-3C46-83A3-73C636F051ED}" name="Tabela312162024283236404448525660646872768084889296100104108112116120124128136" displayName="Tabela312162024283236404448525660646872768084889296100104108112116120124128136" ref="A23:C30" totalsRowShown="0" headerRowDxfId="525" dataDxfId="524">
  <autoFilter ref="A23:C30" xr:uid="{00000000-0009-0000-0100-00004F000000}"/>
  <sortState xmlns:xlrd2="http://schemas.microsoft.com/office/spreadsheetml/2017/richdata2" ref="A24:B30">
    <sortCondition ref="A22:A29"/>
  </sortState>
  <tableColumns count="3">
    <tableColumn id="1" xr3:uid="{319A5038-F871-A14E-8650-C0D3967FB40F}" name="Familia" dataDxfId="523"/>
    <tableColumn id="2" xr3:uid="{87B7CBA9-FF8D-4246-A5CD-488C51ACF8D1}" name="Valor" dataDxfId="522"/>
    <tableColumn id="3" xr3:uid="{E7EC10B9-2EB2-6C4D-815A-3A7BDF81F6C1}" name="Obs" dataDxfId="521"/>
  </tableColumns>
  <tableStyleInfo name="TableStyleMedium15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F3D501C2-82EA-254E-9A3F-9B0B9C5F4B60}" name="Tabela413172125293337414549535761656973778185899397101105109113117121125129137" displayName="Tabela413172125293337414549535761656973778185899397101105109113117121125129137" ref="A13:C21" totalsRowShown="0" headerRowDxfId="520" dataDxfId="519">
  <autoFilter ref="A13:C21" xr:uid="{00000000-0009-0000-0100-000050000000}"/>
  <tableColumns count="3">
    <tableColumn id="1" xr3:uid="{02173C09-6914-A84D-9DC2-4E798C36AC04}" name="Casa " dataDxfId="518"/>
    <tableColumn id="2" xr3:uid="{F8F11A6F-F6DD-0243-9461-0DB47D01A4CB}" name="Valor" dataDxfId="517">
      <calculatedColumnFormula>SUM(B13:B13)</calculatedColumnFormula>
    </tableColumn>
    <tableColumn id="3" xr3:uid="{53DFA8D5-0DF9-BF49-A6EB-123119D9BD6A}" name="Coluna1" dataDxfId="516"/>
  </tableColumns>
  <tableStyleInfo name="TableStyleMedium15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E4E853BA-F2DD-8248-97E5-7974032BB666}" name="Tabela11014182226303438424650545862667074788286909498102106110114118122126134138" displayName="Tabela11014182226303438424650545862667074788286909498102106110114118122126134138" ref="A5:E6" totalsRowShown="0" headerRowDxfId="515" dataDxfId="514">
  <autoFilter ref="A5:E6" xr:uid="{00000000-0009-0000-0100-00004D000000}"/>
  <tableColumns count="5">
    <tableColumn id="1" xr3:uid="{8B402715-26E3-414C-AF06-BB5EDFB2764C}" name="ENTRADA" dataDxfId="513">
      <calculatedColumnFormula>32725+18150</calculatedColumnFormula>
    </tableColumn>
    <tableColumn id="2" xr3:uid="{F98FD8E4-B70D-E84F-B930-E7C7E42A29B4}" name="INSS 3%" dataDxfId="512">
      <calculatedColumnFormula>Tabela11014182226303438424650545862667074788286909498102106110114118122126134138[ENTRADA]*3/100</calculatedColumnFormula>
    </tableColumn>
    <tableColumn id="3" xr3:uid="{2BB565A4-CC92-9A42-A43B-1A003B02D612}" name="DIZIMO 10%" dataDxfId="511">
      <calculatedColumnFormula>Tabela11014182226303438424650545862667074788286909498102106110114118122126134138[ENTRADA]*10/100</calculatedColumnFormula>
    </tableColumn>
    <tableColumn id="4" xr3:uid="{AC707D35-547C-5A43-8954-F664FD342774}" name="Renda 87%" dataDxfId="510">
      <calculatedColumnFormula>Tabela11014182226303438424650545862667074788286909498102106110114118122126134138[ENTRADA]-(Tabela11014182226303438424650545862667074788286909498102106110114118122126134138[INSS 3%]+Tabela11014182226303438424650545862667074788286909498102106110114118122126134138[DIZIMO 10%])</calculatedColumnFormula>
    </tableColumn>
    <tableColumn id="5" xr3:uid="{2330C0AC-845A-7D44-BF83-10B5145FB045}" name="Sando Final" dataDxfId="509">
      <calculatedColumnFormula>Tabela11014182226303438424650545862667074788286909498102106110114118122126134138[Renda 87%]-(B11+B22+B31)</calculatedColumnFormula>
    </tableColumn>
  </tableColumns>
  <tableStyleInfo name="TableStyleLight8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C29396F-C7AA-9E4C-B491-8B291E945D7A}" name="Tabela21115192327313539434751555963677175798387919599103107111115119123127135139" displayName="Tabela21115192327313539434751555963677175798387919599103107111115119123127135139" ref="A8:C11" totalsRowShown="0" headerRowDxfId="508" dataDxfId="507">
  <autoFilter ref="A8:C11" xr:uid="{00000000-0009-0000-0100-00004E000000}"/>
  <tableColumns count="3">
    <tableColumn id="1" xr3:uid="{5938E544-4449-C54A-97B6-CBE3BF2235F0}" name="Dividas" dataDxfId="506"/>
    <tableColumn id="2" xr3:uid="{8F7C2D8D-2BBE-244C-B8D7-3776AC560F8D}" name="Valor" dataDxfId="505">
      <calculatedColumnFormula>SUM(B8:B8)</calculatedColumnFormula>
    </tableColumn>
    <tableColumn id="3" xr3:uid="{5CC8FAC5-8924-A042-9208-DD832BEC98E7}" name="Obs" dataDxfId="504"/>
  </tableColumns>
  <tableStyleInfo name="TableStyleMedium15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81169855-9124-D443-BE12-EACE71FC6F43}" name="Tabela312162024283236404448525660646872768084889296100104108112116120124128136140" displayName="Tabela312162024283236404448525660646872768084889296100104108112116120124128136140" ref="A24:C31" totalsRowShown="0" headerRowDxfId="503" dataDxfId="502">
  <autoFilter ref="A24:C31" xr:uid="{00000000-0009-0000-0100-00004F000000}"/>
  <sortState xmlns:xlrd2="http://schemas.microsoft.com/office/spreadsheetml/2017/richdata2" ref="A25:B31">
    <sortCondition ref="A23:A30"/>
  </sortState>
  <tableColumns count="3">
    <tableColumn id="1" xr3:uid="{64651B2A-8D1B-4942-8BE7-8A40B60A8B74}" name="Familia" dataDxfId="501"/>
    <tableColumn id="2" xr3:uid="{9F7E325A-E9CA-284C-9A59-61BCB6CB661F}" name="Valor" dataDxfId="500"/>
    <tableColumn id="3" xr3:uid="{17D54F2A-1AF1-9547-8730-B15067258B49}" name="Obs" dataDxfId="499"/>
  </tableColumns>
  <tableStyleInfo name="TableStyleMedium15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8CB0AE2-16FE-E042-A9AF-552B1B8B235A}" name="Tabela413172125293337414549535761656973778185899397101105109113117121125129137141" displayName="Tabela413172125293337414549535761656973778185899397101105109113117121125129137141" ref="A13:C22" totalsRowShown="0" headerRowDxfId="498" dataDxfId="497">
  <autoFilter ref="A13:C22" xr:uid="{00000000-0009-0000-0100-000050000000}"/>
  <tableColumns count="3">
    <tableColumn id="1" xr3:uid="{75474614-1453-9A48-AE3B-E15E160ACA27}" name="Casa " dataDxfId="496"/>
    <tableColumn id="2" xr3:uid="{9E5BFF68-574D-FA41-8965-56F979D1D274}" name="Valor" dataDxfId="495">
      <calculatedColumnFormula>SUM(B13:B13)</calculatedColumnFormula>
    </tableColumn>
    <tableColumn id="3" xr3:uid="{F63F98D8-193E-A542-85AC-166F5D0A59AF}" name="Coluna1" dataDxfId="494"/>
  </tableColumns>
  <tableStyleInfo name="TableStyleMedium15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44B42154-B516-4589-A358-3FB24E65AF7F}" name="Tabela11014182226303438424650545862667074788286909498102106110114118122126134138142" displayName="Tabela11014182226303438424650545862667074788286909498102106110114118122126134138142" ref="A5:E6" totalsRowShown="0" headerRowDxfId="493" dataDxfId="492">
  <autoFilter ref="A5:E6" xr:uid="{00000000-0009-0000-0100-00004D000000}"/>
  <tableColumns count="5">
    <tableColumn id="1" xr3:uid="{5F1084E9-A41A-4DCF-8857-96E245E6080D}" name="ENTRADA" dataDxfId="491">
      <calculatedColumnFormula>32725+18150</calculatedColumnFormula>
    </tableColumn>
    <tableColumn id="2" xr3:uid="{EA975E33-2D59-4E91-9247-EF4DCD822C34}" name="INSS 3%" dataDxfId="490">
      <calculatedColumnFormula>Tabela11014182226303438424650545862667074788286909498102106110114118122126134138142[ENTRADA]*3/100</calculatedColumnFormula>
    </tableColumn>
    <tableColumn id="3" xr3:uid="{D320A62B-1404-4040-8535-DE203FC76193}" name="DIZIMO 10%" dataDxfId="489">
      <calculatedColumnFormula>Tabela11014182226303438424650545862667074788286909498102106110114118122126134138142[ENTRADA]*10/100</calculatedColumnFormula>
    </tableColumn>
    <tableColumn id="4" xr3:uid="{FA0BAEE6-7242-4798-8F3D-25872F83AA61}" name="Renda 87%" dataDxfId="488">
      <calculatedColumnFormula>Tabela11014182226303438424650545862667074788286909498102106110114118122126134138142[ENTRADA]-(Tabela11014182226303438424650545862667074788286909498102106110114118122126134138142[INSS 3%]+Tabela11014182226303438424650545862667074788286909498102106110114118122126134138142[DIZIMO 10%])</calculatedColumnFormula>
    </tableColumn>
    <tableColumn id="5" xr3:uid="{4D985077-E6C9-498D-8352-413EB5924698}" name="Sando Final" dataDxfId="487">
      <calculatedColumnFormula>Tabela11014182226303438424650545862667074788286909498102106110114118122126134138142[Renda 87%]-(B12+B23+B32)</calculatedColumnFormula>
    </tableColumn>
  </tableColumns>
  <tableStyleInfo name="TableStyleLight8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3604DE55-0B0F-47E5-98BA-49547659BC8A}" name="Tabela21115192327313539434751555963677175798387919599103107111115119123127135139143" displayName="Tabela21115192327313539434751555963677175798387919599103107111115119123127135139143" ref="A8:C12" totalsRowShown="0" headerRowDxfId="486" dataDxfId="485">
  <autoFilter ref="A8:C12" xr:uid="{00000000-0009-0000-0100-00004E000000}"/>
  <tableColumns count="3">
    <tableColumn id="1" xr3:uid="{9C811166-0C9D-4213-9AC6-7B4C5A13C67E}" name="Dividas" dataDxfId="484"/>
    <tableColumn id="2" xr3:uid="{37E484F7-818E-480A-9723-DFE0C3E50EDC}" name="Valor" dataDxfId="483">
      <calculatedColumnFormula>SUM(B8:B8)</calculatedColumnFormula>
    </tableColumn>
    <tableColumn id="3" xr3:uid="{2D4EDABB-FC04-41E0-ADBE-4940016EB2F5}" name="Obs" dataDxfId="482"/>
  </tableColumns>
  <tableStyleInfo name="TableStyleMedium15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FE4C704E-2CFB-46A1-A138-A255F1F124BD}" name="Tabela312162024283236404448525660646872768084889296100104108112116120124128136140144" displayName="Tabela312162024283236404448525660646872768084889296100104108112116120124128136140144" ref="A25:C32" totalsRowShown="0" headerRowDxfId="481" dataDxfId="480">
  <autoFilter ref="A25:C32" xr:uid="{00000000-0009-0000-0100-00004F000000}"/>
  <sortState xmlns:xlrd2="http://schemas.microsoft.com/office/spreadsheetml/2017/richdata2" ref="A26:B32">
    <sortCondition ref="A24:A31"/>
  </sortState>
  <tableColumns count="3">
    <tableColumn id="1" xr3:uid="{25509BFA-0B56-4F8E-B7E7-B168DE97C0F5}" name="Familia" dataDxfId="479"/>
    <tableColumn id="2" xr3:uid="{8BC9A913-33F3-4D2E-950C-1FB255CB47BF}" name="Valor" dataDxfId="478"/>
    <tableColumn id="3" xr3:uid="{EEB1D043-8165-493D-AE89-CC3672C7EC9B}" name="Obs" dataDxfId="477"/>
  </tableColumns>
  <tableStyleInfo name="TableStyleMedium15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ED8EBBF5-46CF-41AC-915F-B8B991A5F6DA}" name="Tabela413172125293337414549535761656973778185899397101105109113117121125129137141145" displayName="Tabela413172125293337414549535761656973778185899397101105109113117121125129137141145" ref="A14:C23" totalsRowShown="0" headerRowDxfId="476" dataDxfId="475">
  <autoFilter ref="A14:C23" xr:uid="{00000000-0009-0000-0100-000050000000}"/>
  <tableColumns count="3">
    <tableColumn id="1" xr3:uid="{3E496812-A5DE-4580-A595-60B2B9004752}" name="Casa " dataDxfId="474"/>
    <tableColumn id="2" xr3:uid="{D9DA2604-DF0E-4848-B9F3-2616F82C9DD2}" name="Valor" dataDxfId="473">
      <calculatedColumnFormula>SUM(B14:B14)</calculatedColumnFormula>
    </tableColumn>
    <tableColumn id="3" xr3:uid="{688C5DA9-88F4-4C06-B267-F8547EDDE428}" name="Coluna1" dataDxfId="472"/>
  </tableColumns>
  <tableStyleInfo name="TableStyleMedium15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A0C6A8E1-073B-684B-BC54-AFB0000C24F2}" name="Tabela11014182226303438424650545862667074788286909498102106110114118122126134138142146" displayName="Tabela11014182226303438424650545862667074788286909498102106110114118122126134138142146" ref="A5:E6" totalsRowShown="0" headerRowDxfId="471" dataDxfId="470">
  <autoFilter ref="A5:E6" xr:uid="{00000000-0009-0000-0100-00004D000000}"/>
  <tableColumns count="5">
    <tableColumn id="1" xr3:uid="{AE8551C3-E1A9-5D41-81D2-2A136A9C6B30}" name="ENTRADA" dataDxfId="469">
      <calculatedColumnFormula>32725+18150</calculatedColumnFormula>
    </tableColumn>
    <tableColumn id="2" xr3:uid="{AE9C30A5-7AEE-D94F-829E-009939115A0A}" name="INSS 3%" dataDxfId="468">
      <calculatedColumnFormula>Tabela11014182226303438424650545862667074788286909498102106110114118122126134138142146[ENTRADA]*3/100</calculatedColumnFormula>
    </tableColumn>
    <tableColumn id="3" xr3:uid="{34D9D421-B8CD-3845-AE1E-9E916422D994}" name="DIZIMO 10%" dataDxfId="467">
      <calculatedColumnFormula>Tabela11014182226303438424650545862667074788286909498102106110114118122126134138142146[ENTRADA]*10/100</calculatedColumnFormula>
    </tableColumn>
    <tableColumn id="4" xr3:uid="{127DE413-F1A0-FE4B-8227-7B2356257FEB}" name="Renda 87%" dataDxfId="466">
      <calculatedColumnFormula>Tabela11014182226303438424650545862667074788286909498102106110114118122126134138142146[ENTRADA]-(Tabela11014182226303438424650545862667074788286909498102106110114118122126134138142146[INSS 3%]+Tabela11014182226303438424650545862667074788286909498102106110114118122126134138142146[DIZIMO 10%])</calculatedColumnFormula>
    </tableColumn>
    <tableColumn id="5" xr3:uid="{8C83EE91-98FF-F949-A82E-5354BB3AD272}" name="Sando Final" dataDxfId="465">
      <calculatedColumnFormula>Tabela11014182226303438424650545862667074788286909498102106110114118122126134138142146[Renda 87%]-(B11+B23+B31)</calculatedColumnFormula>
    </tableColumn>
  </tableColumns>
  <tableStyleInfo name="TableStyleLight8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AABB6516-98D6-B846-B752-B88FA46A32EC}" name="Tabela21115192327313539434751555963677175798387919599103107111115119123127135139143147" displayName="Tabela21115192327313539434751555963677175798387919599103107111115119123127135139143147" ref="A8:C11" totalsRowShown="0" headerRowDxfId="464" dataDxfId="463">
  <autoFilter ref="A8:C11" xr:uid="{00000000-0009-0000-0100-00004E000000}"/>
  <tableColumns count="3">
    <tableColumn id="1" xr3:uid="{CBD5AF61-7E1B-AE4F-9E1A-706D95209F2E}" name="Dividas" dataDxfId="462"/>
    <tableColumn id="2" xr3:uid="{62C500D9-A609-2648-A573-49CC12C29079}" name="Valor" dataDxfId="461">
      <calculatedColumnFormula>SUM(B8:B8)</calculatedColumnFormula>
    </tableColumn>
    <tableColumn id="3" xr3:uid="{0BFB6FFA-BAB8-E84D-85B4-352BDEAD7BA5}" name="Obs" dataDxfId="460"/>
  </tableColumns>
  <tableStyleInfo name="TableStyleMedium15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CE960BB3-42A0-9449-A4CA-53F882245D74}" name="Tabela312162024283236404448525660646872768084889296100104108112116120124128136140144148" displayName="Tabela312162024283236404448525660646872768084889296100104108112116120124128136140144148" ref="A25:C31" totalsRowShown="0" headerRowDxfId="459" dataDxfId="458">
  <autoFilter ref="A25:C31" xr:uid="{00000000-0009-0000-0100-00004F000000}"/>
  <sortState xmlns:xlrd2="http://schemas.microsoft.com/office/spreadsheetml/2017/richdata2" ref="A26:B31">
    <sortCondition ref="A24:A30"/>
  </sortState>
  <tableColumns count="3">
    <tableColumn id="1" xr3:uid="{52B07DFB-3A3F-3B4A-8B39-C946E8F27517}" name="Familia" dataDxfId="457"/>
    <tableColumn id="2" xr3:uid="{892E8A98-790C-AB4B-B0A7-E5CE9DAD0A8B}" name="Valor" dataDxfId="456"/>
    <tableColumn id="3" xr3:uid="{562B284C-1F37-6E49-A7F5-8DD32B3CDCC1}" name="Obs" dataDxfId="455"/>
  </tableColumns>
  <tableStyleInfo name="TableStyleMedium15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1C7B0E4-0546-7C4C-89C8-B8B29EDA92E3}" name="Tabela413172125293337414549535761656973778185899397101105109113117121125129137141145149" displayName="Tabela413172125293337414549535761656973778185899397101105109113117121125129137141145149" ref="A13:C23" totalsRowShown="0" headerRowDxfId="454" dataDxfId="453">
  <autoFilter ref="A13:C23" xr:uid="{00000000-0009-0000-0100-000050000000}"/>
  <tableColumns count="3">
    <tableColumn id="1" xr3:uid="{4E6EBFC0-E287-D84E-884A-DF74EEC2681B}" name="Casa " dataDxfId="452"/>
    <tableColumn id="2" xr3:uid="{354CB106-4432-B44B-82F2-C44BDAB342B7}" name="Valor" dataDxfId="451">
      <calculatedColumnFormula>SUM(B13:B13)</calculatedColumnFormula>
    </tableColumn>
    <tableColumn id="3" xr3:uid="{204B6957-5E0D-0B4E-B36A-74F237813D2B}" name="Coluna1" dataDxfId="450"/>
  </tableColumns>
  <tableStyleInfo name="TableStyleMedium15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B247E1A5-78BF-496D-8591-B39FCFDC20B8}" name="Tabela11014182226303438424650545862667074788286909498102106110114118122126134138142146150" displayName="Tabela11014182226303438424650545862667074788286909498102106110114118122126134138142146150" ref="A5:E6" totalsRowShown="0" headerRowDxfId="449" dataDxfId="448">
  <autoFilter ref="A5:E6" xr:uid="{00000000-0009-0000-0100-00004D000000}"/>
  <tableColumns count="5">
    <tableColumn id="1" xr3:uid="{BD584B5B-75A6-4C0F-B457-8C21B8A47DF7}" name="ENTRADA" dataDxfId="447">
      <calculatedColumnFormula>32725+18150</calculatedColumnFormula>
    </tableColumn>
    <tableColumn id="2" xr3:uid="{6D3620D1-F396-4083-817D-4FD22965B541}" name="INSS 3%" dataDxfId="446">
      <calculatedColumnFormula>Tabela11014182226303438424650545862667074788286909498102106110114118122126134138142146150[ENTRADA]*3/100</calculatedColumnFormula>
    </tableColumn>
    <tableColumn id="3" xr3:uid="{5014F324-DF70-487A-ABC8-8B7B273065D2}" name="DIZIMO 10%" dataDxfId="445">
      <calculatedColumnFormula>Tabela11014182226303438424650545862667074788286909498102106110114118122126134138142146150[ENTRADA]*10/100</calculatedColumnFormula>
    </tableColumn>
    <tableColumn id="4" xr3:uid="{7E1CBDCA-22BC-41BA-BD50-7E763E7790D0}" name="Renda 87%" dataDxfId="444">
      <calculatedColumnFormula>Tabela11014182226303438424650545862667074788286909498102106110114118122126134138142146150[ENTRADA]-(Tabela11014182226303438424650545862667074788286909498102106110114118122126134138142146150[INSS 3%]+Tabela11014182226303438424650545862667074788286909498102106110114118122126134138142146150[DIZIMO 10%])</calculatedColumnFormula>
    </tableColumn>
    <tableColumn id="5" xr3:uid="{044C7639-9C87-4C1A-997C-B239DEB32CF5}" name="Sando Final" dataDxfId="443">
      <calculatedColumnFormula>Tabela11014182226303438424650545862667074788286909498102106110114118122126134138142146150[Renda 87%]-(B14+B26+B33)</calculatedColumnFormula>
    </tableColumn>
  </tableColumns>
  <tableStyleInfo name="TableStyleLight8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4709BAD5-8A78-45AD-9975-BC6218166815}" name="Tabela21115192327313539434751555963677175798387919599103107111115119123127135139143147151" displayName="Tabela21115192327313539434751555963677175798387919599103107111115119123127135139143147151" ref="A8:C14" totalsRowShown="0" headerRowDxfId="442" dataDxfId="441">
  <autoFilter ref="A8:C14" xr:uid="{00000000-0009-0000-0100-00004E000000}"/>
  <tableColumns count="3">
    <tableColumn id="1" xr3:uid="{9E32B089-139D-4462-B797-AE6AB1A69542}" name="Dividas" dataDxfId="440"/>
    <tableColumn id="2" xr3:uid="{0C868A12-E72D-42E8-8FDB-09BF5DF2EDDB}" name="Valor" dataDxfId="439">
      <calculatedColumnFormula>SUM(B8:B8)</calculatedColumnFormula>
    </tableColumn>
    <tableColumn id="3" xr3:uid="{3C6B5941-3980-4CA8-B3FE-654D145E10A0}" name="Obs" dataDxfId="438"/>
  </tableColumns>
  <tableStyleInfo name="TableStyleMedium15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BE21A247-D28C-400F-9077-2ABB7D56FC8F}" name="Tabela312162024283236404448525660646872768084889296100104108112116120124128136140144148152" displayName="Tabela312162024283236404448525660646872768084889296100104108112116120124128136140144148152" ref="A28:C33" totalsRowShown="0" headerRowDxfId="437" dataDxfId="436">
  <autoFilter ref="A28:C33" xr:uid="{00000000-0009-0000-0100-00004F000000}"/>
  <sortState xmlns:xlrd2="http://schemas.microsoft.com/office/spreadsheetml/2017/richdata2" ref="A29:B33">
    <sortCondition ref="A27:A32"/>
  </sortState>
  <tableColumns count="3">
    <tableColumn id="1" xr3:uid="{15A659AA-5A44-40A0-8B9F-8772C3B66DEF}" name="Familia" dataDxfId="435"/>
    <tableColumn id="2" xr3:uid="{5554346B-FA60-463C-A527-BFB516D8E335}" name="Valor" dataDxfId="434"/>
    <tableColumn id="3" xr3:uid="{181D906C-DEC5-47CC-B03B-E9AD89BDF1C2}" name="Obs" dataDxfId="433"/>
  </tableColumns>
  <tableStyleInfo name="TableStyleMedium15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9D3B2B79-D36D-449F-A9ED-CE1D7EE52B46}" name="Tabela413172125293337414549535761656973778185899397101105109113117121125129137141145149153" displayName="Tabela413172125293337414549535761656973778185899397101105109113117121125129137141145149153" ref="A16:C26" totalsRowShown="0" headerRowDxfId="432" dataDxfId="431">
  <autoFilter ref="A16:C26" xr:uid="{00000000-0009-0000-0100-000050000000}"/>
  <tableColumns count="3">
    <tableColumn id="1" xr3:uid="{FCEC6B72-DA58-46C4-9BB0-15BB40DC97B0}" name="Casa " dataDxfId="430"/>
    <tableColumn id="2" xr3:uid="{18BA93EA-1C4F-4BCC-9A6C-7F86B887EEEB}" name="Valor" dataDxfId="429">
      <calculatedColumnFormula>SUM(B16:B16)</calculatedColumnFormula>
    </tableColumn>
    <tableColumn id="3" xr3:uid="{EE8E4D9C-E9D7-4616-ABE5-4AB89FAFADA0}" name="Coluna1" dataDxfId="428"/>
  </tableColumns>
  <tableStyleInfo name="TableStyleMedium15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1CD2391C-7C30-2648-BAF5-9C7509EA25F2}" name="Tabela11014182226303438424650545862667074788286909498102106110114118122126134138142146150154" displayName="Tabela11014182226303438424650545862667074788286909498102106110114118122126134138142146150154" ref="A5:E6" totalsRowShown="0" headerRowDxfId="427" dataDxfId="426">
  <autoFilter ref="A5:E6" xr:uid="{00000000-0009-0000-0100-00004D000000}"/>
  <tableColumns count="5">
    <tableColumn id="1" xr3:uid="{FFB60674-75BD-9A4C-A5F0-59E4BD4F60B5}" name="ENTRADA" dataDxfId="425">
      <calculatedColumnFormula>34361.25+19057.5</calculatedColumnFormula>
    </tableColumn>
    <tableColumn id="2" xr3:uid="{75D706E3-B8DA-8847-BD1A-199E8ABBA73A}" name="INSS 3%" dataDxfId="424">
      <calculatedColumnFormula>Tabela11014182226303438424650545862667074788286909498102106110114118122126134138142146150154[ENTRADA]*3/100</calculatedColumnFormula>
    </tableColumn>
    <tableColumn id="3" xr3:uid="{EA59B08B-3F79-6B45-85E1-EB2BDB730C10}" name="DIZIMO 10%" dataDxfId="423">
      <calculatedColumnFormula>Tabela11014182226303438424650545862667074788286909498102106110114118122126134138142146150154[ENTRADA]*10/100</calculatedColumnFormula>
    </tableColumn>
    <tableColumn id="4" xr3:uid="{624EE909-F67D-A343-8DF2-A51C945A6835}" name="Renda 87%" dataDxfId="422">
      <calculatedColumnFormula>Tabela11014182226303438424650545862667074788286909498102106110114118122126134138142146150154[ENTRADA]-(Tabela11014182226303438424650545862667074788286909498102106110114118122126134138142146150154[INSS 3%]+Tabela11014182226303438424650545862667074788286909498102106110114118122126134138142146150154[DIZIMO 10%])</calculatedColumnFormula>
    </tableColumn>
    <tableColumn id="5" xr3:uid="{C874970F-E28F-204A-840E-D7151D14BBBF}" name="Sando Final" dataDxfId="421">
      <calculatedColumnFormula>Tabela11014182226303438424650545862667074788286909498102106110114118122126134138142146150154[Renda 87%]-(B14+B25+B33)</calculatedColumnFormula>
    </tableColumn>
  </tableColumns>
  <tableStyleInfo name="TableStyleLight8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2A31A378-9848-BC4C-9B63-F70B81EDF60C}" name="Tabela21115192327313539434751555963677175798387919599103107111115119123127135139143147151155" displayName="Tabela21115192327313539434751555963677175798387919599103107111115119123127135139143147151155" ref="A8:C14" totalsRowShown="0" headerRowDxfId="420" dataDxfId="419">
  <autoFilter ref="A8:C14" xr:uid="{00000000-0009-0000-0100-00004E000000}"/>
  <tableColumns count="3">
    <tableColumn id="1" xr3:uid="{C6FC48EF-14D5-674B-8C42-2E5DE1EA585B}" name="Dividas" dataDxfId="418"/>
    <tableColumn id="2" xr3:uid="{737E64AC-13F7-0B49-8EB7-5DD724016BCF}" name="Valor" dataDxfId="417">
      <calculatedColumnFormula>SUM(B8:B8)</calculatedColumnFormula>
    </tableColumn>
    <tableColumn id="3" xr3:uid="{F3308367-C60C-3243-A2F1-57CD0FF52CC5}" name="Obs" dataDxfId="416"/>
  </tableColumns>
  <tableStyleInfo name="TableStyleMedium15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14AFECD1-0C04-F54A-AC56-A2412194C489}" name="Tabela312162024283236404448525660646872768084889296100104108112116120124128136140144148152156" displayName="Tabela312162024283236404448525660646872768084889296100104108112116120124128136140144148152156" ref="A27:C33" totalsRowShown="0" headerRowDxfId="415" dataDxfId="414">
  <autoFilter ref="A27:C33" xr:uid="{00000000-0009-0000-0100-00004F000000}"/>
  <sortState xmlns:xlrd2="http://schemas.microsoft.com/office/spreadsheetml/2017/richdata2" ref="A28:B33">
    <sortCondition ref="A26:A32"/>
  </sortState>
  <tableColumns count="3">
    <tableColumn id="1" xr3:uid="{B912A027-BB50-5C43-9674-A6BD06C0F40C}" name="Familia" dataDxfId="413"/>
    <tableColumn id="2" xr3:uid="{153FCDE5-D627-0B4C-B26F-2D2AE23409F2}" name="Valor" dataDxfId="412"/>
    <tableColumn id="3" xr3:uid="{7B375E5A-9966-4E40-B9EA-C37FFEDCA32A}" name="Obs" dataDxfId="411"/>
  </tableColumns>
  <tableStyleInfo name="TableStyleMedium15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3DA3871D-0261-1541-BF95-394B172C0685}" name="Tabela413172125293337414549535761656973778185899397101105109113117121125129137141145149153157" displayName="Tabela413172125293337414549535761656973778185899397101105109113117121125129137141145149153157" ref="A16:C25" totalsRowShown="0" headerRowDxfId="410" dataDxfId="409">
  <autoFilter ref="A16:C25" xr:uid="{00000000-0009-0000-0100-000050000000}"/>
  <tableColumns count="3">
    <tableColumn id="1" xr3:uid="{3D73F491-D1F5-7E45-9C58-849909227F1C}" name="Casa " dataDxfId="408"/>
    <tableColumn id="2" xr3:uid="{C44381F8-1E50-6842-8571-E1068E694B52}" name="Valor" dataDxfId="407">
      <calculatedColumnFormula>SUM(B16:B16)</calculatedColumnFormula>
    </tableColumn>
    <tableColumn id="3" xr3:uid="{521C03EA-FEDB-A746-9CAE-A8739D3F582D}" name="Coluna1" dataDxfId="406"/>
  </tableColumns>
  <tableStyleInfo name="TableStyleMedium15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947283F3-1B70-40BF-95F1-5F084B79421B}" name="Tabela11014182226303438424650545862667074788286909498102106110114118122126134138142146150154158166" displayName="Tabela11014182226303438424650545862667074788286909498102106110114118122126134138142146150154158166" ref="A5:E6" totalsRowShown="0" headerRowDxfId="405" dataDxfId="404">
  <autoFilter ref="A5:E6" xr:uid="{00000000-0009-0000-0100-00004D000000}"/>
  <tableColumns count="5">
    <tableColumn id="1" xr3:uid="{DC2514A4-ADD8-48D3-B818-469EFA4069A9}" name="ENTRADA" dataDxfId="403">
      <calculatedColumnFormula>34361.25+19057.5</calculatedColumnFormula>
    </tableColumn>
    <tableColumn id="2" xr3:uid="{ABEC39F8-299D-4144-89BB-D6283CB2B472}" name="INSS 3%" dataDxfId="402">
      <calculatedColumnFormula>Tabela11014182226303438424650545862667074788286909498102106110114118122126134138142146150154158166[ENTRADA]*3/100</calculatedColumnFormula>
    </tableColumn>
    <tableColumn id="3" xr3:uid="{0E32B7DE-1AC7-4988-821C-53C50F7BB74D}" name="DIZIMO 10%" dataDxfId="401">
      <calculatedColumnFormula>Tabela11014182226303438424650545862667074788286909498102106110114118122126134138142146150154158166[ENTRADA]*10/100</calculatedColumnFormula>
    </tableColumn>
    <tableColumn id="4" xr3:uid="{495A618A-0AC1-4CD4-A6E2-CA34E8D0BA80}" name="Renda 87%" dataDxfId="400">
      <calculatedColumnFormula>Tabela11014182226303438424650545862667074788286909498102106110114118122126134138142146150154158166[ENTRADA]-(Tabela11014182226303438424650545862667074788286909498102106110114118122126134138142146150154158166[INSS 3%]+Tabela11014182226303438424650545862667074788286909498102106110114118122126134138142146150154158166[DIZIMO 10%])</calculatedColumnFormula>
    </tableColumn>
    <tableColumn id="5" xr3:uid="{D3088685-D982-4B2B-9BF5-B6B3EBD05BB7}" name="Sando Final" dataDxfId="399">
      <calculatedColumnFormula>Tabela11014182226303438424650545862667074788286909498102106110114118122126134138142146150154158166[Renda 87%]-(B13+B24+B32)</calculatedColumnFormula>
    </tableColumn>
  </tableColumns>
  <tableStyleInfo name="TableStyleLight8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E9A38F8-4F46-45E3-BECC-7839DF0B71C5}" name="Tabela21115192327313539434751555963677175798387919599103107111115119123127135139143147151155159167" displayName="Tabela21115192327313539434751555963677175798387919599103107111115119123127135139143147151155159167" ref="A8:C13" totalsRowShown="0" headerRowDxfId="398" dataDxfId="397">
  <autoFilter ref="A8:C13" xr:uid="{00000000-0009-0000-0100-00004E000000}"/>
  <tableColumns count="3">
    <tableColumn id="1" xr3:uid="{54D18406-46BF-4875-B5FA-EB1EC50268EE}" name="Dividas" dataDxfId="396"/>
    <tableColumn id="2" xr3:uid="{A65E20DD-2564-4DE6-9F08-FFE9DEC8C44B}" name="Valor" dataDxfId="395">
      <calculatedColumnFormula>SUM(B8:B8)</calculatedColumnFormula>
    </tableColumn>
    <tableColumn id="3" xr3:uid="{186C79B3-D88B-4499-A66D-A51A8F7F9BC5}" name="Obs" dataDxfId="394"/>
  </tableColumns>
  <tableStyleInfo name="TableStyleMedium15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83E8FED-3B96-46D2-A74B-D92BB16EB2C8}" name="Tabela312162024283236404448525660646872768084889296100104108112116120124128136140144148152156160168" displayName="Tabela312162024283236404448525660646872768084889296100104108112116120124128136140144148152156160168" ref="A26:C32" totalsRowShown="0" headerRowDxfId="393" dataDxfId="392">
  <autoFilter ref="A26:C32" xr:uid="{00000000-0009-0000-0100-00004F000000}"/>
  <sortState xmlns:xlrd2="http://schemas.microsoft.com/office/spreadsheetml/2017/richdata2" ref="A27:B32">
    <sortCondition ref="A25:A31"/>
  </sortState>
  <tableColumns count="3">
    <tableColumn id="1" xr3:uid="{24F4C6AA-0587-41AA-BCC1-8D8307AAEA91}" name="Familia" dataDxfId="391"/>
    <tableColumn id="2" xr3:uid="{3E76BD3B-11AE-40CB-B0F4-96F1DD490763}" name="Valor" dataDxfId="390"/>
    <tableColumn id="3" xr3:uid="{2F008CEB-AC48-4181-BD79-2F2B68098E1B}" name="Obs" dataDxfId="389"/>
  </tableColumns>
  <tableStyleInfo name="TableStyleMedium15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5CF93D4-614C-44B7-8A35-8D9070C3529D}" name="Tabela413172125293337414549535761656973778185899397101105109113117121125129137141145149153157161169" displayName="Tabela413172125293337414549535761656973778185899397101105109113117121125129137141145149153157161169" ref="A15:C24" totalsRowShown="0" headerRowDxfId="388" dataDxfId="387">
  <autoFilter ref="A15:C24" xr:uid="{00000000-0009-0000-0100-000050000000}"/>
  <tableColumns count="3">
    <tableColumn id="1" xr3:uid="{35D7C934-0104-4FF3-AFE1-9C859EC48386}" name="Casa " dataDxfId="386"/>
    <tableColumn id="2" xr3:uid="{F51AADC2-E186-40B7-A027-F98B09DC9626}" name="Valor" dataDxfId="385">
      <calculatedColumnFormula>SUM(B15:B15)</calculatedColumnFormula>
    </tableColumn>
    <tableColumn id="3" xr3:uid="{40975267-D7F1-4520-9727-C7D238114263}" name="Coluna1" dataDxfId="384"/>
  </tableColumns>
  <tableStyleInfo name="TableStyleMedium15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EE251D7F-F83A-43D5-9E2F-F99186592D12}" name="Tabela11014182226303438424650545862667074788286909498102106110114118122126134138142146150154158" displayName="Tabela11014182226303438424650545862667074788286909498102106110114118122126134138142146150154158" ref="A5:E6" totalsRowShown="0" headerRowDxfId="383" dataDxfId="382">
  <autoFilter ref="A5:E6" xr:uid="{00000000-0009-0000-0100-00004D000000}"/>
  <tableColumns count="5">
    <tableColumn id="1" xr3:uid="{E553A644-41B6-4744-9B12-98EC896CA87D}" name="ENTRADA" dataDxfId="381">
      <calculatedColumnFormula>34361.25+19057.5</calculatedColumnFormula>
    </tableColumn>
    <tableColumn id="2" xr3:uid="{A917BD87-BD04-40F6-B685-970B0EF25F0D}" name="INSS 3%" dataDxfId="380">
      <calculatedColumnFormula>Tabela11014182226303438424650545862667074788286909498102106110114118122126134138142146150154158[ENTRADA]*3/100</calculatedColumnFormula>
    </tableColumn>
    <tableColumn id="3" xr3:uid="{BE1E592C-F025-41ED-8953-5D9E9352FE6F}" name="DIZIMO 10%" dataDxfId="379">
      <calculatedColumnFormula>Tabela11014182226303438424650545862667074788286909498102106110114118122126134138142146150154158[ENTRADA]*10/100</calculatedColumnFormula>
    </tableColumn>
    <tableColumn id="4" xr3:uid="{4E21BC3A-8597-4087-B0B2-F395FF85728D}" name="Renda 87%" dataDxfId="378">
      <calculatedColumnFormula>Tabela11014182226303438424650545862667074788286909498102106110114118122126134138142146150154158[ENTRADA]-(Tabela11014182226303438424650545862667074788286909498102106110114118122126134138142146150154158[INSS 3%]+Tabela11014182226303438424650545862667074788286909498102106110114118122126134138142146150154158[DIZIMO 10%])</calculatedColumnFormula>
    </tableColumn>
    <tableColumn id="5" xr3:uid="{8EEDD84B-BA00-4A8B-BED5-634873CF4C49}" name="Sando Final" dataDxfId="377">
      <calculatedColumnFormula>Tabela11014182226303438424650545862667074788286909498102106110114118122126134138142146150154158[Renda 87%]-(B13+B24+B32)</calculatedColumnFormula>
    </tableColumn>
  </tableColumns>
  <tableStyleInfo name="TableStyleLight8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4F52512F-B762-485A-8053-7D2E4F7DB734}" name="Tabela21115192327313539434751555963677175798387919599103107111115119123127135139143147151155159" displayName="Tabela21115192327313539434751555963677175798387919599103107111115119123127135139143147151155159" ref="A8:C13" totalsRowShown="0" headerRowDxfId="376" dataDxfId="375">
  <autoFilter ref="A8:C13" xr:uid="{00000000-0009-0000-0100-00004E000000}"/>
  <tableColumns count="3">
    <tableColumn id="1" xr3:uid="{031429F1-17D6-400F-A136-D4191B753F26}" name="Dividas" dataDxfId="374"/>
    <tableColumn id="2" xr3:uid="{03F812E1-3880-4911-B8A6-0F9E934C7F44}" name="Valor" dataDxfId="373">
      <calculatedColumnFormula>SUM(B8:B8)</calculatedColumnFormula>
    </tableColumn>
    <tableColumn id="3" xr3:uid="{57D7BED2-A29E-4DBA-8217-BC6932C8B923}" name="Obs" dataDxfId="372"/>
  </tableColumns>
  <tableStyleInfo name="TableStyleMedium15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4E54C5B7-B77E-4A55-BEF0-0D141C7DEC7A}" name="Tabela312162024283236404448525660646872768084889296100104108112116120124128136140144148152156160" displayName="Tabela312162024283236404448525660646872768084889296100104108112116120124128136140144148152156160" ref="A26:C32" totalsRowShown="0" headerRowDxfId="371" dataDxfId="370">
  <autoFilter ref="A26:C32" xr:uid="{00000000-0009-0000-0100-00004F000000}"/>
  <sortState xmlns:xlrd2="http://schemas.microsoft.com/office/spreadsheetml/2017/richdata2" ref="A27:B32">
    <sortCondition ref="A25:A31"/>
  </sortState>
  <tableColumns count="3">
    <tableColumn id="1" xr3:uid="{A99520C0-C875-4227-8261-04F9920F7511}" name="Familia" dataDxfId="369"/>
    <tableColumn id="2" xr3:uid="{F3B8B32D-568E-4B62-ABD1-20CAC0FA313F}" name="Valor" dataDxfId="368"/>
    <tableColumn id="3" xr3:uid="{EA64F7E3-7B7A-4B01-A9C3-2D64B4F82CBB}" name="Obs" dataDxfId="367"/>
  </tableColumns>
  <tableStyleInfo name="TableStyleMedium15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85EB6130-3EEC-45F3-A1B1-DD8ABCEB3262}" name="Tabela413172125293337414549535761656973778185899397101105109113117121125129137141145149153157161" displayName="Tabela413172125293337414549535761656973778185899397101105109113117121125129137141145149153157161" ref="A15:C24" totalsRowShown="0" headerRowDxfId="366" dataDxfId="365">
  <autoFilter ref="A15:C24" xr:uid="{00000000-0009-0000-0100-000050000000}"/>
  <tableColumns count="3">
    <tableColumn id="1" xr3:uid="{FAAF11C9-E270-4F93-BD82-FB7AD4165294}" name="Casa " dataDxfId="364"/>
    <tableColumn id="2" xr3:uid="{08026E01-5448-4EB9-88B6-2B7189226BF9}" name="Valor" dataDxfId="363">
      <calculatedColumnFormula>SUM(B15:B15)</calculatedColumnFormula>
    </tableColumn>
    <tableColumn id="3" xr3:uid="{E1BF2C65-0876-4ED1-B5EB-E2E319A64ECD}" name="Coluna1" dataDxfId="362"/>
  </tableColumns>
  <tableStyleInfo name="TableStyleMedium15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BC9B4D92-179D-7E4F-ABB7-194E95BFF1C1}" name="Tabela11014182226303438424650545862667074788286909498102106110114118122126134138142146150154158162" displayName="Tabela11014182226303438424650545862667074788286909498102106110114118122126134138142146150154158162" ref="A5:E6" totalsRowShown="0" headerRowDxfId="361" dataDxfId="360">
  <autoFilter ref="A5:E6" xr:uid="{00000000-0009-0000-0100-00004D000000}"/>
  <tableColumns count="5">
    <tableColumn id="1" xr3:uid="{2470B076-2A4D-FC4C-9A4A-F1176A82370D}" name="ENTRADA" dataDxfId="359">
      <calculatedColumnFormula>34361.25+19057.5</calculatedColumnFormula>
    </tableColumn>
    <tableColumn id="2" xr3:uid="{8822F0D2-E8D1-9642-93B9-1123D12C7E94}" name="INSS 3%" dataDxfId="358">
      <calculatedColumnFormula>Tabela11014182226303438424650545862667074788286909498102106110114118122126134138142146150154158162[ENTRADA]*3/100</calculatedColumnFormula>
    </tableColumn>
    <tableColumn id="3" xr3:uid="{B5F37FA7-F714-7543-9D24-0249A2DBD640}" name="DIZIMO 10%" dataDxfId="357">
      <calculatedColumnFormula>Tabela11014182226303438424650545862667074788286909498102106110114118122126134138142146150154158162[ENTRADA]*10/100</calculatedColumnFormula>
    </tableColumn>
    <tableColumn id="4" xr3:uid="{7652CD65-49DB-EE4E-9F79-381F5158810F}" name="Renda 87%" dataDxfId="356">
      <calculatedColumnFormula>Tabela11014182226303438424650545862667074788286909498102106110114118122126134138142146150154158162[ENTRADA]-(Tabela11014182226303438424650545862667074788286909498102106110114118122126134138142146150154158162[INSS 3%]+Tabela11014182226303438424650545862667074788286909498102106110114118122126134138142146150154158162[DIZIMO 10%])</calculatedColumnFormula>
    </tableColumn>
    <tableColumn id="5" xr3:uid="{10B038FB-24C4-6544-9D59-475518B394A1}" name="Sando Final" dataDxfId="355">
      <calculatedColumnFormula>Tabela11014182226303438424650545862667074788286909498102106110114118122126134138142146150154158162[Renda 87%]-(B12+B23+B31)</calculatedColumnFormula>
    </tableColumn>
  </tableColumns>
  <tableStyleInfo name="TableStyleLight8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DCB08530-3F3E-7842-9618-A390E1D9A85F}" name="Tabela21115192327313539434751555963677175798387919599103107111115119123127135139143147151155159163" displayName="Tabela21115192327313539434751555963677175798387919599103107111115119123127135139143147151155159163" ref="A8:C12" totalsRowShown="0" headerRowDxfId="354" dataDxfId="353">
  <autoFilter ref="A8:C12" xr:uid="{00000000-0009-0000-0100-00004E000000}"/>
  <tableColumns count="3">
    <tableColumn id="1" xr3:uid="{C2A4842D-81B4-6147-AA25-8AC3FBF55EF2}" name="Dividas" dataDxfId="352"/>
    <tableColumn id="2" xr3:uid="{34ACE91F-B503-1043-9C5D-190A5F773B40}" name="Valor" dataDxfId="351">
      <calculatedColumnFormula>SUM(B8:B8)</calculatedColumnFormula>
    </tableColumn>
    <tableColumn id="3" xr3:uid="{28A0B5E3-AEF7-4040-ACB7-389DA5F7779E}" name="Obs" dataDxfId="350"/>
  </tableColumns>
  <tableStyleInfo name="TableStyleMedium15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D50385CB-D176-7543-9A45-CDBFC851F18A}" name="Tabela312162024283236404448525660646872768084889296100104108112116120124128136140144148152156160164" displayName="Tabela312162024283236404448525660646872768084889296100104108112116120124128136140144148152156160164" ref="A25:C31" totalsRowShown="0" headerRowDxfId="349" dataDxfId="348">
  <autoFilter ref="A25:C31" xr:uid="{00000000-0009-0000-0100-00004F000000}"/>
  <sortState xmlns:xlrd2="http://schemas.microsoft.com/office/spreadsheetml/2017/richdata2" ref="A26:B31">
    <sortCondition ref="A24:A30"/>
  </sortState>
  <tableColumns count="3">
    <tableColumn id="1" xr3:uid="{AB01C045-EEF1-9049-9B97-FD607A0253AC}" name="Familia" dataDxfId="347"/>
    <tableColumn id="2" xr3:uid="{3A9096C0-B523-9148-85BD-2940937A60AF}" name="Valor" dataDxfId="346"/>
    <tableColumn id="3" xr3:uid="{33C14932-873E-5A43-8982-3FEC119BB360}" name="Obs" dataDxfId="345"/>
  </tableColumns>
  <tableStyleInfo name="TableStyleMedium15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8B992E2A-BDE1-454F-A8EF-B2A7055F8E2E}" name="Tabela413172125293337414549535761656973778185899397101105109113117121125129137141145149153157161165" displayName="Tabela413172125293337414549535761656973778185899397101105109113117121125129137141145149153157161165" ref="A14:C23" totalsRowShown="0" headerRowDxfId="344" dataDxfId="343">
  <autoFilter ref="A14:C23" xr:uid="{00000000-0009-0000-0100-000050000000}"/>
  <tableColumns count="3">
    <tableColumn id="1" xr3:uid="{20CC2CAF-28A6-834C-8CDE-1B815313E87B}" name="Casa " dataDxfId="342"/>
    <tableColumn id="2" xr3:uid="{321D305F-10E8-CE4B-9988-611E430FCDD1}" name="Valor" dataDxfId="341">
      <calculatedColumnFormula>SUM(B14:B14)</calculatedColumnFormula>
    </tableColumn>
    <tableColumn id="3" xr3:uid="{140DCEFA-F720-6F47-BCC4-E12304BEB809}" name="Coluna1" dataDxfId="340"/>
  </tableColumns>
  <tableStyleInfo name="TableStyleMedium15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78275E3F-A623-4A22-B868-B7817716167D}" name="Tabela11014182226303438424650545862667074788286909498102106110114118122126134138142146150154158162170" displayName="Tabela11014182226303438424650545862667074788286909498102106110114118122126134138142146150154158162170" ref="A5:E6" totalsRowShown="0" headerRowDxfId="339" dataDxfId="338">
  <autoFilter ref="A5:E6" xr:uid="{00000000-0009-0000-0100-00004D000000}"/>
  <tableColumns count="5">
    <tableColumn id="1" xr3:uid="{A7DE3F68-4EC2-4F26-AF70-2316ADF96D5A}" name="ENTRADA" dataDxfId="337">
      <calculatedColumnFormula>34361.25+19057.5</calculatedColumnFormula>
    </tableColumn>
    <tableColumn id="2" xr3:uid="{62929883-9980-4271-9445-EE4B53584902}" name="INSS 3%" dataDxfId="336">
      <calculatedColumnFormula>Tabela11014182226303438424650545862667074788286909498102106110114118122126134138142146150154158162170[ENTRADA]*3/100</calculatedColumnFormula>
    </tableColumn>
    <tableColumn id="3" xr3:uid="{AF28CA44-352E-4AA7-9663-D3293B899382}" name="DIZIMO 10%" dataDxfId="335">
      <calculatedColumnFormula>Tabela11014182226303438424650545862667074788286909498102106110114118122126134138142146150154158162170[ENTRADA]*10/100</calculatedColumnFormula>
    </tableColumn>
    <tableColumn id="4" xr3:uid="{4AE9A7BC-9A6C-45C2-8695-6CB0A3959C41}" name="Renda 87%" dataDxfId="334">
      <calculatedColumnFormula>Tabela11014182226303438424650545862667074788286909498102106110114118122126134138142146150154158162170[ENTRADA]-(Tabela11014182226303438424650545862667074788286909498102106110114118122126134138142146150154158162170[INSS 3%]+Tabela11014182226303438424650545862667074788286909498102106110114118122126134138142146150154158162170[DIZIMO 10%])</calculatedColumnFormula>
    </tableColumn>
    <tableColumn id="5" xr3:uid="{22740D38-0590-4986-9D33-447C87E78556}" name="Saldo Final" dataDxfId="333">
      <calculatedColumnFormula>Tabela11014182226303438424650545862667074788286909498102106110114118122126134138142146150154158162170[Renda 87%]-(B13+B24+B32)</calculatedColumnFormula>
    </tableColumn>
  </tableColumns>
  <tableStyleInfo name="TableStyleLight8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FE655DED-6736-484E-A976-540D114ABDEE}" name="Tabela21115192327313539434751555963677175798387919599103107111115119123127135139143147151155159163171" displayName="Tabela21115192327313539434751555963677175798387919599103107111115119123127135139143147151155159163171" ref="A8:C13" totalsRowShown="0" headerRowDxfId="332" dataDxfId="331">
  <autoFilter ref="A8:C13" xr:uid="{00000000-0009-0000-0100-00004E000000}"/>
  <tableColumns count="3">
    <tableColumn id="1" xr3:uid="{7651567D-A572-4AC4-8461-B322BAC2FE8A}" name="Dividas" dataDxfId="330"/>
    <tableColumn id="2" xr3:uid="{25A3ADD6-1348-49F9-8EA4-893E4139349F}" name="Valor" dataDxfId="329">
      <calculatedColumnFormula>SUM(B8:B8)</calculatedColumnFormula>
    </tableColumn>
    <tableColumn id="3" xr3:uid="{2BD97594-B6F0-4981-8E61-0BE4C34083A1}" name="Obs" dataDxfId="328"/>
  </tableColumns>
  <tableStyleInfo name="TableStyleMedium15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6B348DF3-E605-4747-8038-B5DCF5C58721}" name="Tabela312162024283236404448525660646872768084889296100104108112116120124128136140144148152156160164172" displayName="Tabela312162024283236404448525660646872768084889296100104108112116120124128136140144148152156160164172" ref="A26:C32" totalsRowShown="0" headerRowDxfId="327" dataDxfId="326">
  <autoFilter ref="A26:C32" xr:uid="{00000000-0009-0000-0100-00004F000000}"/>
  <sortState xmlns:xlrd2="http://schemas.microsoft.com/office/spreadsheetml/2017/richdata2" ref="A27:B32">
    <sortCondition ref="A25:A31"/>
  </sortState>
  <tableColumns count="3">
    <tableColumn id="1" xr3:uid="{E5C173A2-4190-4F7F-96EB-EF3C9DD89F0F}" name="Familia" dataDxfId="325"/>
    <tableColumn id="2" xr3:uid="{9A5F9976-0623-423B-988C-1BAF37F9AAC8}" name="Valor" dataDxfId="324"/>
    <tableColumn id="3" xr3:uid="{E004D884-CBD5-4BB8-9571-D82A375DCAA3}" name="Obs" dataDxfId="323"/>
  </tableColumns>
  <tableStyleInfo name="TableStyleMedium15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B58E5B6A-3B6D-485C-82A7-6EF20D10EE84}" name="Tabela413172125293337414549535761656973778185899397101105109113117121125129137141145149153157161165173" displayName="Tabela413172125293337414549535761656973778185899397101105109113117121125129137141145149153157161165173" ref="A15:C24" totalsRowShown="0" headerRowDxfId="322" dataDxfId="321">
  <autoFilter ref="A15:C24" xr:uid="{00000000-0009-0000-0100-000050000000}"/>
  <tableColumns count="3">
    <tableColumn id="1" xr3:uid="{561FA3C7-4695-4FDB-8FCE-072A708F82FC}" name="Casa " dataDxfId="320"/>
    <tableColumn id="2" xr3:uid="{B6A66854-DBD6-4922-A419-2E1FA0C48AE0}" name="Valor" dataDxfId="319">
      <calculatedColumnFormula>SUM(B15:B15)</calculatedColumnFormula>
    </tableColumn>
    <tableColumn id="3" xr3:uid="{EB765417-D909-4B33-B06C-4D35BA4B91CC}" name="Coluna1" dataDxfId="318"/>
  </tableColumns>
  <tableStyleInfo name="TableStyleMedium15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C55DC313-6BAA-0743-9755-8826C6D3134C}" name="Tabela11014182226303438424650545862667074788286909498102106110114118122126134138142146150154158162170174" displayName="Tabela11014182226303438424650545862667074788286909498102106110114118122126134138142146150154158162170174" ref="A5:E6" totalsRowShown="0" headerRowDxfId="317" dataDxfId="316">
  <autoFilter ref="A5:E6" xr:uid="{00000000-0009-0000-0100-00004D000000}"/>
  <tableColumns count="5">
    <tableColumn id="1" xr3:uid="{BA206BCF-E9CE-9542-A3E5-701EDAA5A8E1}" name="ENTRADA" dataDxfId="315">
      <calculatedColumnFormula>34361.25+19057.5</calculatedColumnFormula>
    </tableColumn>
    <tableColumn id="2" xr3:uid="{8DC697C9-BA6A-0248-B995-ABC293FE02D8}" name="INSS 3%" dataDxfId="314">
      <calculatedColumnFormula>Tabela11014182226303438424650545862667074788286909498102106110114118122126134138142146150154158162170174[ENTRADA]*3/100</calculatedColumnFormula>
    </tableColumn>
    <tableColumn id="3" xr3:uid="{268FDB14-A3D9-704A-840A-AE28EFB4D8E5}" name="DIZIMO 10%" dataDxfId="313">
      <calculatedColumnFormula>Tabela11014182226303438424650545862667074788286909498102106110114118122126134138142146150154158162170174[ENTRADA]*10/100</calculatedColumnFormula>
    </tableColumn>
    <tableColumn id="4" xr3:uid="{F1EFE8A7-45D6-C44C-BBEF-966EFEFB6564}" name="Renda 87%" dataDxfId="312">
      <calculatedColumnFormula>Tabela11014182226303438424650545862667074788286909498102106110114118122126134138142146150154158162170174[ENTRADA]-(Tabela11014182226303438424650545862667074788286909498102106110114118122126134138142146150154158162170174[INSS 3%]+Tabela11014182226303438424650545862667074788286909498102106110114118122126134138142146150154158162170174[DIZIMO 10%])</calculatedColumnFormula>
    </tableColumn>
    <tableColumn id="5" xr3:uid="{E8E8299F-5311-2B4B-B501-13361278EE9A}" name="Saldo Final" dataDxfId="311">
      <calculatedColumnFormula>Tabela11014182226303438424650545862667074788286909498102106110114118122126134138142146150154158162170174[Renda 87%]-(B14+B25+B33)</calculatedColumnFormula>
    </tableColumn>
  </tableColumns>
  <tableStyleInfo name="TableStyleLight8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5032AB4B-380B-B744-B0DA-BC951688ABB6}" name="Tabela21115192327313539434751555963677175798387919599103107111115119123127135139143147151155159163171175" displayName="Tabela21115192327313539434751555963677175798387919599103107111115119123127135139143147151155159163171175" ref="A8:C14" totalsRowShown="0" headerRowDxfId="310" dataDxfId="309">
  <autoFilter ref="A8:C14" xr:uid="{00000000-0009-0000-0100-00004E000000}"/>
  <tableColumns count="3">
    <tableColumn id="1" xr3:uid="{DE157E4D-1767-A144-B22F-CEC60B235B6C}" name="Dividas" dataDxfId="308"/>
    <tableColumn id="2" xr3:uid="{2AAC1578-E772-5749-9242-2EC92CF369BA}" name="Valor" dataDxfId="307">
      <calculatedColumnFormula>SUM(B8:B8)</calculatedColumnFormula>
    </tableColumn>
    <tableColumn id="3" xr3:uid="{55D2D478-EDF5-0A44-8F9A-530A449092E1}" name="Obs" dataDxfId="306"/>
  </tableColumns>
  <tableStyleInfo name="TableStyleMedium15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B1CD3713-8071-3640-A677-A261420987CF}" name="Tabela312162024283236404448525660646872768084889296100104108112116120124128136140144148152156160164172176" displayName="Tabela312162024283236404448525660646872768084889296100104108112116120124128136140144148152156160164172176" ref="A27:C33" totalsRowShown="0" headerRowDxfId="305" dataDxfId="304">
  <autoFilter ref="A27:C33" xr:uid="{00000000-0009-0000-0100-00004F000000}"/>
  <sortState xmlns:xlrd2="http://schemas.microsoft.com/office/spreadsheetml/2017/richdata2" ref="A28:B33">
    <sortCondition ref="A26:A32"/>
  </sortState>
  <tableColumns count="3">
    <tableColumn id="1" xr3:uid="{0B88A01F-B32E-A140-9B35-5E08A54E102E}" name="Familia" dataDxfId="303"/>
    <tableColumn id="2" xr3:uid="{B1A00313-FD94-4543-A0E2-790F69CF33D9}" name="Valor" dataDxfId="302"/>
    <tableColumn id="3" xr3:uid="{308CA410-D4AC-A144-B4C7-0BD8E1E1EC0C}" name="Obs" dataDxfId="301"/>
  </tableColumns>
  <tableStyleInfo name="TableStyleMedium15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BB89C398-F4F4-6B4A-852C-BF07FB5DA8FF}" name="Tabela413172125293337414549535761656973778185899397101105109113117121125129137141145149153157161165173177" displayName="Tabela413172125293337414549535761656973778185899397101105109113117121125129137141145149153157161165173177" ref="A16:C25" totalsRowShown="0" headerRowDxfId="300" dataDxfId="299">
  <autoFilter ref="A16:C25" xr:uid="{00000000-0009-0000-0100-000050000000}"/>
  <tableColumns count="3">
    <tableColumn id="1" xr3:uid="{620B0DFF-869D-BB40-B507-F20D1C7527F6}" name="Casa " dataDxfId="298"/>
    <tableColumn id="2" xr3:uid="{72D47701-B3DE-0546-A72E-2DF598C0DAF4}" name="Valor" dataDxfId="297">
      <calculatedColumnFormula>SUM(B16:B16)</calculatedColumnFormula>
    </tableColumn>
    <tableColumn id="3" xr3:uid="{158C178B-2FBA-A444-9EB9-DF1BF0793784}" name="Coluna1" dataDxfId="296"/>
  </tableColumns>
  <tableStyleInfo name="TableStyleMedium15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24926CF2-EC52-49DC-A64F-84C675030C15}" name="Tabela11014182226303438424650545862667074788286909498102106110114118122126134138142146150154158162170174178" displayName="Tabela11014182226303438424650545862667074788286909498102106110114118122126134138142146150154158162170174178" ref="A5:E6" totalsRowShown="0" headerRowDxfId="295" dataDxfId="294">
  <autoFilter ref="A5:E6" xr:uid="{00000000-0009-0000-0100-00004D000000}"/>
  <tableColumns count="5">
    <tableColumn id="1" xr3:uid="{C8B1E1ED-A9ED-48BF-9D86-33FEC330C275}" name="ENTRADA" dataDxfId="293">
      <calculatedColumnFormula>34361.25+19057.5</calculatedColumnFormula>
    </tableColumn>
    <tableColumn id="2" xr3:uid="{C370BC83-DCBD-436F-8A60-95D46E682E6B}" name="INSS 3%" dataDxfId="292">
      <calculatedColumnFormula>Tabela11014182226303438424650545862667074788286909498102106110114118122126134138142146150154158162170174178[ENTRADA]*3/100</calculatedColumnFormula>
    </tableColumn>
    <tableColumn id="3" xr3:uid="{97A92226-95BC-4646-BB3C-FFF841E51645}" name="DIZIMO 10%" dataDxfId="291">
      <calculatedColumnFormula>Tabela11014182226303438424650545862667074788286909498102106110114118122126134138142146150154158162170174178[ENTRADA]*10/100</calculatedColumnFormula>
    </tableColumn>
    <tableColumn id="4" xr3:uid="{CA5FDD60-36BA-4BB4-9C6A-01426454B7B3}" name="Renda 87%" dataDxfId="290">
      <calculatedColumnFormula>Tabela11014182226303438424650545862667074788286909498102106110114118122126134138142146150154158162170174178[ENTRADA]-(Tabela11014182226303438424650545862667074788286909498102106110114118122126134138142146150154158162170174178[INSS 3%]+Tabela11014182226303438424650545862667074788286909498102106110114118122126134138142146150154158162170174178[DIZIMO 10%])</calculatedColumnFormula>
    </tableColumn>
    <tableColumn id="5" xr3:uid="{F18576DC-3107-4ABD-936A-DA3049B5017A}" name="Saldo Final" dataDxfId="289">
      <calculatedColumnFormula>Tabela11014182226303438424650545862667074788286909498102106110114118122126134138142146150154158162170174178[Renda 87%]-(B15+B26+B34)</calculatedColumnFormula>
    </tableColumn>
  </tableColumns>
  <tableStyleInfo name="TableStyleLight8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7526F933-4826-4036-82D7-7E031D6B01F3}" name="Tabela21115192327313539434751555963677175798387919599103107111115119123127135139143147151155159163171175179" displayName="Tabela21115192327313539434751555963677175798387919599103107111115119123127135139143147151155159163171175179" ref="A8:C15" totalsRowShown="0" headerRowDxfId="288" dataDxfId="287">
  <autoFilter ref="A8:C15" xr:uid="{00000000-0009-0000-0100-00004E000000}"/>
  <tableColumns count="3">
    <tableColumn id="1" xr3:uid="{16B8EEBF-9D33-4154-80F7-638A4DD04BE9}" name="Dividas" dataDxfId="286"/>
    <tableColumn id="2" xr3:uid="{71B3CB83-34E4-4535-97A3-EAF01FFF6BE4}" name="Valor" dataDxfId="285">
      <calculatedColumnFormula>SUM(B8:B8)</calculatedColumnFormula>
    </tableColumn>
    <tableColumn id="3" xr3:uid="{207E0F55-3FF2-409C-A514-B81863AC84F4}" name="Obs" dataDxfId="284"/>
  </tableColumns>
  <tableStyleInfo name="TableStyleMedium15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52EBBB25-F9A4-4285-ACC8-BA05CA81ECEA}" name="Tabela312162024283236404448525660646872768084889296100104108112116120124128136140144148152156160164172176180" displayName="Tabela312162024283236404448525660646872768084889296100104108112116120124128136140144148152156160164172176180" ref="A28:C34" totalsRowShown="0" headerRowDxfId="283" dataDxfId="282">
  <autoFilter ref="A28:C34" xr:uid="{00000000-0009-0000-0100-00004F000000}"/>
  <sortState xmlns:xlrd2="http://schemas.microsoft.com/office/spreadsheetml/2017/richdata2" ref="A29:B34">
    <sortCondition ref="A27:A33"/>
  </sortState>
  <tableColumns count="3">
    <tableColumn id="1" xr3:uid="{EDC9D047-E617-4602-BF9D-34F91D23F8D3}" name="Familia" dataDxfId="281"/>
    <tableColumn id="2" xr3:uid="{43F9EE36-70CC-4CBE-90FD-D805C23F5970}" name="Valor" dataDxfId="280"/>
    <tableColumn id="3" xr3:uid="{A5D99E59-A7BD-48BC-9F81-8970D725D70A}" name="Obs" dataDxfId="279"/>
  </tableColumns>
  <tableStyleInfo name="TableStyleMedium15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D4227132-C4D9-4380-8E90-E9AF6E6A4789}" name="Tabela413172125293337414549535761656973778185899397101105109113117121125129137141145149153157161165173177181" displayName="Tabela413172125293337414549535761656973778185899397101105109113117121125129137141145149153157161165173177181" ref="A17:C26" totalsRowShown="0" headerRowDxfId="278" dataDxfId="277">
  <autoFilter ref="A17:C26" xr:uid="{00000000-0009-0000-0100-000050000000}"/>
  <tableColumns count="3">
    <tableColumn id="1" xr3:uid="{92A42450-2CC4-49EE-9E89-731A07A69531}" name="Casa " dataDxfId="276"/>
    <tableColumn id="2" xr3:uid="{4BB30DD3-F476-42E9-B9B0-6DBE4F122AA0}" name="Valor" dataDxfId="275">
      <calculatedColumnFormula>SUM(B17:B17)</calculatedColumnFormula>
    </tableColumn>
    <tableColumn id="3" xr3:uid="{1BF1B615-269B-4697-A88B-66EFED145075}" name="Coluna1" dataDxfId="274"/>
  </tableColumns>
  <tableStyleInfo name="TableStyleMedium15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44F4F9DC-CE6A-45C8-9F31-C48DE8017F9A}" name="Tabela11014182226303438424650545862667074788286909498102106110114118122126134138142146150154158162170174178182" displayName="Tabela11014182226303438424650545862667074788286909498102106110114118122126134138142146150154158162170174178182" ref="A5:E6" totalsRowShown="0" headerRowDxfId="273" dataDxfId="272">
  <autoFilter ref="A5:E6" xr:uid="{00000000-0009-0000-0100-00004D000000}"/>
  <tableColumns count="5">
    <tableColumn id="1" xr3:uid="{59516768-63CA-4CA7-BB22-3246BAB0228F}" name="ENTRADA" dataDxfId="271">
      <calculatedColumnFormula>34361.25+19057.5</calculatedColumnFormula>
    </tableColumn>
    <tableColumn id="2" xr3:uid="{D9F8004D-F212-48E7-A9F6-BE72DB62AEE1}" name="INSS 3%" dataDxfId="270">
      <calculatedColumnFormula>Tabela11014182226303438424650545862667074788286909498102106110114118122126134138142146150154158162170174178182[ENTRADA]*3/100</calculatedColumnFormula>
    </tableColumn>
    <tableColumn id="3" xr3:uid="{4BEBFEB2-246F-43F1-82C1-35869586AE03}" name="DIZIMO 10%" dataDxfId="269">
      <calculatedColumnFormula>Tabela11014182226303438424650545862667074788286909498102106110114118122126134138142146150154158162170174178182[ENTRADA]*10/100</calculatedColumnFormula>
    </tableColumn>
    <tableColumn id="4" xr3:uid="{CD9FE770-E826-4CFB-BB0A-ACAA733AF75E}" name="Renda 87%" dataDxfId="268">
      <calculatedColumnFormula>Tabela11014182226303438424650545862667074788286909498102106110114118122126134138142146150154158162170174178182[ENTRADA]-(Tabela11014182226303438424650545862667074788286909498102106110114118122126134138142146150154158162170174178182[INSS 3%]+Tabela11014182226303438424650545862667074788286909498102106110114118122126134138142146150154158162170174178182[DIZIMO 10%])</calculatedColumnFormula>
    </tableColumn>
    <tableColumn id="5" xr3:uid="{A0B5930F-3FE7-48D9-8A57-9A5878A00537}" name="Saldo Final" dataDxfId="267">
      <calculatedColumnFormula>Tabela11014182226303438424650545862667074788286909498102106110114118122126134138142146150154158162170174178182[Renda 87%]-(B12+B23+B31)</calculatedColumnFormula>
    </tableColumn>
  </tableColumns>
  <tableStyleInfo name="TableStyleLight8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7BAB6328-B711-4E20-BBF3-5374ED4BDA05}" name="Tabela21115192327313539434751555963677175798387919599103107111115119123127135139143147151155159163171175179183" displayName="Tabela21115192327313539434751555963677175798387919599103107111115119123127135139143147151155159163171175179183" ref="A8:C12" totalsRowShown="0" headerRowDxfId="266" dataDxfId="265">
  <autoFilter ref="A8:C12" xr:uid="{00000000-0009-0000-0100-00004E000000}"/>
  <tableColumns count="3">
    <tableColumn id="1" xr3:uid="{948A579C-568E-48CD-A698-8A10B05AC3D2}" name="Dividas" dataDxfId="264"/>
    <tableColumn id="2" xr3:uid="{1F50EFE3-91B7-4B94-A01D-0409E6786B3D}" name="Valor" dataDxfId="263">
      <calculatedColumnFormula>SUM(B8:B8)</calculatedColumnFormula>
    </tableColumn>
    <tableColumn id="3" xr3:uid="{6F17C7D7-E616-4FF7-93BE-B39327330E51}" name="Obs" dataDxfId="262"/>
  </tableColumns>
  <tableStyleInfo name="TableStyleMedium15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35747280-71D7-4DE4-9584-66D4AAE69C79}" name="Tabela312162024283236404448525660646872768084889296100104108112116120124128136140144148152156160164172176180184" displayName="Tabela312162024283236404448525660646872768084889296100104108112116120124128136140144148152156160164172176180184" ref="A25:C31" totalsRowShown="0" headerRowDxfId="261" dataDxfId="260">
  <autoFilter ref="A25:C31" xr:uid="{00000000-0009-0000-0100-00004F000000}"/>
  <sortState xmlns:xlrd2="http://schemas.microsoft.com/office/spreadsheetml/2017/richdata2" ref="A26:B31">
    <sortCondition ref="A24:A30"/>
  </sortState>
  <tableColumns count="3">
    <tableColumn id="1" xr3:uid="{F7CDC66F-BD67-4B53-9CB8-DAB3FCF1CEED}" name="Familia" dataDxfId="259"/>
    <tableColumn id="2" xr3:uid="{E0B020B3-A1DF-4D41-95A8-C95E76FB3462}" name="Valor" dataDxfId="258"/>
    <tableColumn id="3" xr3:uid="{8B78C1F1-510A-44AE-A74B-05D36BA08940}" name="Obs" dataDxfId="257"/>
  </tableColumns>
  <tableStyleInfo name="TableStyleMedium15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64BA33F1-FA77-496F-9811-17AB6B8DD916}" name="Tabela413172125293337414549535761656973778185899397101105109113117121125129137141145149153157161165173177181185" displayName="Tabela413172125293337414549535761656973778185899397101105109113117121125129137141145149153157161165173177181185" ref="A14:C23" totalsRowShown="0" headerRowDxfId="256" dataDxfId="255">
  <autoFilter ref="A14:C23" xr:uid="{00000000-0009-0000-0100-000050000000}"/>
  <tableColumns count="3">
    <tableColumn id="1" xr3:uid="{3C0BCE5F-9226-4051-97C2-BFF44E0D1C8F}" name="Casa " dataDxfId="254"/>
    <tableColumn id="2" xr3:uid="{20558AEF-76B2-4189-A398-2B567D267684}" name="Valor" dataDxfId="253">
      <calculatedColumnFormula>SUM(B14:B14)</calculatedColumnFormula>
    </tableColumn>
    <tableColumn id="3" xr3:uid="{5B8B7BC0-A5DD-45C9-8512-363EEAEC75C6}" name="Coluna1" dataDxfId="252"/>
  </tableColumns>
  <tableStyleInfo name="TableStyleMedium15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7A87F16B-B3AD-4945-AC70-A588E27F1975}" name="Tabela11014182226303438424650545862667074788286909498102106110114118122126134138142146150154158162170174178182186" displayName="Tabela11014182226303438424650545862667074788286909498102106110114118122126134138142146150154158162170174178182186" ref="A5:E6" totalsRowShown="0" headerRowDxfId="251" dataDxfId="250">
  <autoFilter ref="A5:E6" xr:uid="{00000000-0009-0000-0100-00004D000000}"/>
  <tableColumns count="5">
    <tableColumn id="1" xr3:uid="{F0253680-D059-449E-85C1-8CB0F475A94E}" name="ENTRADA" dataDxfId="249">
      <calculatedColumnFormula>34361.25+19057.5</calculatedColumnFormula>
    </tableColumn>
    <tableColumn id="2" xr3:uid="{851DD94A-BFF2-41F1-9CEB-DCB179147EFD}" name="INSS 3%" dataDxfId="248">
      <calculatedColumnFormula>Tabela11014182226303438424650545862667074788286909498102106110114118122126134138142146150154158162170174178182186[ENTRADA]*3/100</calculatedColumnFormula>
    </tableColumn>
    <tableColumn id="3" xr3:uid="{33BBF120-026B-40D2-938D-27311977A288}" name="DIZIMO 10%" dataDxfId="247">
      <calculatedColumnFormula>Tabela11014182226303438424650545862667074788286909498102106110114118122126134138142146150154158162170174178182186[ENTRADA]*10/100</calculatedColumnFormula>
    </tableColumn>
    <tableColumn id="4" xr3:uid="{0A1D574D-6F67-4572-9900-D49589588413}" name="Renda 87%" dataDxfId="246">
      <calculatedColumnFormula>Tabela11014182226303438424650545862667074788286909498102106110114118122126134138142146150154158162170174178182186[ENTRADA]-(Tabela11014182226303438424650545862667074788286909498102106110114118122126134138142146150154158162170174178182186[INSS 3%]+Tabela11014182226303438424650545862667074788286909498102106110114118122126134138142146150154158162170174178182186[DIZIMO 10%])</calculatedColumnFormula>
    </tableColumn>
    <tableColumn id="5" xr3:uid="{195CB055-D2C7-457E-A90E-6E233A1EF96D}" name="Saldo Final" dataDxfId="245">
      <calculatedColumnFormula>Tabela11014182226303438424650545862667074788286909498102106110114118122126134138142146150154158162170174178182186[Renda 87%]-(B12+B23+B31)</calculatedColumnFormula>
    </tableColumn>
  </tableColumns>
  <tableStyleInfo name="TableStyleLight8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912B523F-BB56-4FC4-897F-975620EBB513}" name="Tabela21115192327313539434751555963677175798387919599103107111115119123127135139143147151155159163171175179183187" displayName="Tabela21115192327313539434751555963677175798387919599103107111115119123127135139143147151155159163171175179183187" ref="A8:C12" totalsRowShown="0" headerRowDxfId="244" dataDxfId="243">
  <autoFilter ref="A8:C12" xr:uid="{00000000-0009-0000-0100-00004E000000}"/>
  <tableColumns count="3">
    <tableColumn id="1" xr3:uid="{08480CD8-F7F5-405D-BDA3-D031E9C40327}" name="Dividas" dataDxfId="242"/>
    <tableColumn id="2" xr3:uid="{F1DFE800-6C89-4BC9-A141-315956983839}" name="Valor" dataDxfId="241">
      <calculatedColumnFormula>SUM(B8:B8)</calculatedColumnFormula>
    </tableColumn>
    <tableColumn id="3" xr3:uid="{D979E166-2F5D-475B-9B0F-0A5956D2F50D}" name="Obs" dataDxfId="240"/>
  </tableColumns>
  <tableStyleInfo name="TableStyleMedium15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F06309F9-1452-4BDC-8146-88EC63171F80}" name="Tabela312162024283236404448525660646872768084889296100104108112116120124128136140144148152156160164172176180184188" displayName="Tabela312162024283236404448525660646872768084889296100104108112116120124128136140144148152156160164172176180184188" ref="A25:C31" totalsRowShown="0" headerRowDxfId="239" dataDxfId="238">
  <autoFilter ref="A25:C31" xr:uid="{00000000-0009-0000-0100-00004F000000}"/>
  <sortState xmlns:xlrd2="http://schemas.microsoft.com/office/spreadsheetml/2017/richdata2" ref="A26:B31">
    <sortCondition ref="A24:A30"/>
  </sortState>
  <tableColumns count="3">
    <tableColumn id="1" xr3:uid="{8A5B5F85-9E4A-4C36-9C87-64AE06E33B59}" name="Familia" dataDxfId="237"/>
    <tableColumn id="2" xr3:uid="{9638AA77-1927-4992-B145-A5F225F60DC5}" name="Valor" dataDxfId="236"/>
    <tableColumn id="3" xr3:uid="{97061FD5-AEE9-4B8B-A67E-9A36A6758DFC}" name="Obs" dataDxfId="235"/>
  </tableColumns>
  <tableStyleInfo name="TableStyleMedium15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86811F83-CFD2-4F4C-B737-2565021C14E0}" name="Tabela413172125293337414549535761656973778185899397101105109113117121125129137141145149153157161165173177181185189" displayName="Tabela413172125293337414549535761656973778185899397101105109113117121125129137141145149153157161165173177181185189" ref="A14:C23" totalsRowShown="0" headerRowDxfId="234" dataDxfId="233">
  <autoFilter ref="A14:C23" xr:uid="{00000000-0009-0000-0100-000050000000}"/>
  <tableColumns count="3">
    <tableColumn id="1" xr3:uid="{7F1EBB51-EFBC-46E1-B211-87548D334D97}" name="Casa " dataDxfId="232"/>
    <tableColumn id="2" xr3:uid="{9009B080-E128-4CD3-9941-ACF7CA4C67C4}" name="Valor" dataDxfId="231">
      <calculatedColumnFormula>SUM(B14:B14)</calculatedColumnFormula>
    </tableColumn>
    <tableColumn id="3" xr3:uid="{4EAB2B71-1544-4F16-BF2D-46EFAC594FED}" name="Coluna1" dataDxfId="230"/>
  </tableColumns>
  <tableStyleInfo name="TableStyleMedium15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50EF9FFD-8EE3-4CAE-8CFB-995DF647F0B9}" name="Tabela11014182226303438424650545862667074788286909498102106110114118122126134138142146150154158162170174178182186190" displayName="Tabela11014182226303438424650545862667074788286909498102106110114118122126134138142146150154158162170174178182186190" ref="A5:E6" totalsRowShown="0" headerRowDxfId="229" dataDxfId="228">
  <autoFilter ref="A5:E6" xr:uid="{00000000-0009-0000-0100-00004D000000}"/>
  <tableColumns count="5">
    <tableColumn id="1" xr3:uid="{94988377-6D83-456C-8566-5665D342FAF1}" name="ENTRADA" dataDxfId="227">
      <calculatedColumnFormula array="1">A7:H30</calculatedColumnFormula>
    </tableColumn>
    <tableColumn id="2" xr3:uid="{D44C2533-076D-4F73-8970-C306914B127A}" name="INSS 3%" dataDxfId="226">
      <calculatedColumnFormula>Tabela11014182226303438424650545862667074788286909498102106110114118122126134138142146150154158162170174178182186190[ENTRADA]*3/100</calculatedColumnFormula>
    </tableColumn>
    <tableColumn id="3" xr3:uid="{88A00A8B-CA4D-4108-80AD-01DC5DE86184}" name="DIZIMO 10%" dataDxfId="225">
      <calculatedColumnFormula>Tabela11014182226303438424650545862667074788286909498102106110114118122126134138142146150154158162170174178182186190[ENTRADA]*10/100</calculatedColumnFormula>
    </tableColumn>
    <tableColumn id="4" xr3:uid="{8748B6DA-F61F-4FE2-9319-63E91F3E32AA}" name="Renda 87%" dataDxfId="224">
      <calculatedColumnFormula>Tabela11014182226303438424650545862667074788286909498102106110114118122126134138142146150154158162170174178182186190[ENTRADA]-(Tabela11014182226303438424650545862667074788286909498102106110114118122126134138142146150154158162170174178182186190[INSS 3%]+Tabela11014182226303438424650545862667074788286909498102106110114118122126134138142146150154158162170174178182186190[DIZIMO 10%])</calculatedColumnFormula>
    </tableColumn>
    <tableColumn id="5" xr3:uid="{75FEE5B6-5936-4E3A-BC4E-772B19EA2316}" name="Saldo Final" dataDxfId="223">
      <calculatedColumnFormula>Tabela11014182226303438424650545862667074788286909498102106110114118122126134138142146150154158162170174178182186190[Renda 87%]-(B12+B22+B30)</calculatedColumnFormula>
    </tableColumn>
  </tableColumns>
  <tableStyleInfo name="TableStyleLight8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13063773-846A-4D2B-88E0-02ED7C2D4FB2}" name="Tabela21115192327313539434751555963677175798387919599103107111115119123127135139143147151155159163171175179183187191" displayName="Tabela21115192327313539434751555963677175798387919599103107111115119123127135139143147151155159163171175179183187191" ref="A8:C12" totalsRowShown="0" headerRowDxfId="222" dataDxfId="221">
  <autoFilter ref="A8:C12" xr:uid="{00000000-0009-0000-0100-00004E000000}"/>
  <tableColumns count="3">
    <tableColumn id="1" xr3:uid="{B88153B2-EE63-4AA2-9B90-1537C701DE10}" name="Dividas" dataDxfId="220"/>
    <tableColumn id="2" xr3:uid="{799C28D3-5792-4E24-A3E5-ED2EBA9977FD}" name="Valor" dataDxfId="219">
      <calculatedColumnFormula>SUM(B8:B8)</calculatedColumnFormula>
    </tableColumn>
    <tableColumn id="3" xr3:uid="{A5163671-0CF7-443E-830F-C8EC3C219380}" name="Obs" dataDxfId="218"/>
  </tableColumns>
  <tableStyleInfo name="TableStyleMedium15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0E436A6-EF87-4218-BBE2-CC2DDAD78327}" name="Tabela312162024283236404448525660646872768084889296100104108112116120124128136140144148152156160164172176180184188192" displayName="Tabela312162024283236404448525660646872768084889296100104108112116120124128136140144148152156160164172176180184188192" ref="A24:C30" totalsRowShown="0" headerRowDxfId="217" dataDxfId="216">
  <autoFilter ref="A24:C30" xr:uid="{00000000-0009-0000-0100-00004F000000}"/>
  <sortState xmlns:xlrd2="http://schemas.microsoft.com/office/spreadsheetml/2017/richdata2" ref="A25:B30">
    <sortCondition ref="A23:A29"/>
  </sortState>
  <tableColumns count="3">
    <tableColumn id="1" xr3:uid="{140FD910-D558-42B2-8758-9A3F250D182B}" name="Familia" dataDxfId="215"/>
    <tableColumn id="2" xr3:uid="{8752AC84-2DD5-48CA-B096-FBF5C3EC82E7}" name="Valor" dataDxfId="214"/>
    <tableColumn id="3" xr3:uid="{707A463F-C25B-457A-BC06-40697BBD82FE}" name="Obs" dataDxfId="213"/>
  </tableColumns>
  <tableStyleInfo name="TableStyleMedium15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BE956CA-74CA-4B84-987F-D40F88B3756A}" name="Tabela413172125293337414549535761656973778185899397101105109113117121125129137141145149153157161165173177181185189193" displayName="Tabela413172125293337414549535761656973778185899397101105109113117121125129137141145149153157161165173177181185189193" ref="A14:C22" totalsRowShown="0" headerRowDxfId="212" dataDxfId="211">
  <autoFilter ref="A14:C22" xr:uid="{00000000-0009-0000-0100-000050000000}"/>
  <tableColumns count="3">
    <tableColumn id="1" xr3:uid="{22975129-773D-4A44-B13B-E09060E5BAF3}" name="Casa " dataDxfId="210"/>
    <tableColumn id="2" xr3:uid="{0F2E10FB-C57E-40A5-B2A1-AA4C16001468}" name="Valor" dataDxfId="209">
      <calculatedColumnFormula>SUM(B14:B14)</calculatedColumnFormula>
    </tableColumn>
    <tableColumn id="3" xr3:uid="{32FFB4BE-7A6E-4F13-B0A5-1A29A5FF79EC}" name="Coluna1" dataDxfId="208"/>
  </tableColumns>
  <tableStyleInfo name="TableStyleMedium15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82BCE2D7-F8DC-484A-97AF-2E688069A002}" name="Tabela11014182226303438424650545862667074788286909498102106110114118122126134138142146150154158162170174178182186190194" displayName="Tabela11014182226303438424650545862667074788286909498102106110114118122126134138142146150154158162170174178182186190194" ref="A5:E6" totalsRowShown="0" headerRowDxfId="207" dataDxfId="206">
  <autoFilter ref="A5:E6" xr:uid="{00000000-0009-0000-0100-00004D000000}"/>
  <tableColumns count="5">
    <tableColumn id="1" xr3:uid="{D8208FC0-08CD-4EB0-BFA1-1C9CB0C9F174}" name="ENTRADA" dataDxfId="205">
      <calculatedColumnFormula>34361.25+19057.5</calculatedColumnFormula>
    </tableColumn>
    <tableColumn id="2" xr3:uid="{9269B3F3-2969-4524-84FB-4611FCB349B2}" name="INSS 3%" dataDxfId="204">
      <calculatedColumnFormula>Tabela11014182226303438424650545862667074788286909498102106110114118122126134138142146150154158162170174178182186190194[ENTRADA]*3/100</calculatedColumnFormula>
    </tableColumn>
    <tableColumn id="3" xr3:uid="{BDA4CE7A-4C36-4CF0-8296-2D9CD68DE928}" name="DIZIMO 10%" dataDxfId="203">
      <calculatedColumnFormula>Tabela11014182226303438424650545862667074788286909498102106110114118122126134138142146150154158162170174178182186190194[ENTRADA]*10/100</calculatedColumnFormula>
    </tableColumn>
    <tableColumn id="4" xr3:uid="{721CAB88-DB5A-4854-98A6-C022E8E47784}" name="Renda 87%" dataDxfId="202">
      <calculatedColumnFormula>Tabela11014182226303438424650545862667074788286909498102106110114118122126134138142146150154158162170174178182186190194[ENTRADA]-(Tabela11014182226303438424650545862667074788286909498102106110114118122126134138142146150154158162170174178182186190194[INSS 3%]+Tabela11014182226303438424650545862667074788286909498102106110114118122126134138142146150154158162170174178182186190194[DIZIMO 10%])</calculatedColumnFormula>
    </tableColumn>
    <tableColumn id="5" xr3:uid="{A2378464-7807-40EC-9182-E16228167382}" name="Saldo Final" dataDxfId="201">
      <calculatedColumnFormula>Tabela11014182226303438424650545862667074788286909498102106110114118122126134138142146150154158162170174178182186190194[Renda 87%]-(B12+B22+B30)</calculatedColumnFormula>
    </tableColumn>
  </tableColumns>
  <tableStyleInfo name="TableStyleLight8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A33680C8-6C3B-4816-A6BF-2970235C3C8F}" name="Tabela21115192327313539434751555963677175798387919599103107111115119123127135139143147151155159163171175179183187191195" displayName="Tabela21115192327313539434751555963677175798387919599103107111115119123127135139143147151155159163171175179183187191195" ref="A8:C12" totalsRowShown="0" headerRowDxfId="200" dataDxfId="199">
  <autoFilter ref="A8:C12" xr:uid="{00000000-0009-0000-0100-00004E000000}"/>
  <tableColumns count="3">
    <tableColumn id="1" xr3:uid="{480B0242-E9A0-45B2-8C84-147124139999}" name="Dividas" dataDxfId="198"/>
    <tableColumn id="2" xr3:uid="{8D20B77C-8563-4288-B5A8-A79DBAE1FD49}" name="Valor" dataDxfId="197">
      <calculatedColumnFormula>SUM(B8:B8)</calculatedColumnFormula>
    </tableColumn>
    <tableColumn id="3" xr3:uid="{50F51D8F-891D-4B6D-973D-DD85C86048FC}" name="Obs" dataDxfId="196"/>
  </tableColumns>
  <tableStyleInfo name="TableStyleMedium15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A539D370-667C-4677-8993-3478AE2CF1E1}" name="Tabela312162024283236404448525660646872768084889296100104108112116120124128136140144148152156160164172176180184188192196" displayName="Tabela312162024283236404448525660646872768084889296100104108112116120124128136140144148152156160164172176180184188192196" ref="A24:C30" totalsRowShown="0" headerRowDxfId="195" dataDxfId="194">
  <autoFilter ref="A24:C30" xr:uid="{00000000-0009-0000-0100-00004F000000}"/>
  <sortState xmlns:xlrd2="http://schemas.microsoft.com/office/spreadsheetml/2017/richdata2" ref="A25:B30">
    <sortCondition ref="A23:A29"/>
  </sortState>
  <tableColumns count="3">
    <tableColumn id="1" xr3:uid="{FD205DF6-3F87-47A9-9F13-69F0C87846EC}" name="Familia" dataDxfId="193"/>
    <tableColumn id="2" xr3:uid="{4D26E212-9FD0-48DC-9DCF-CE53220CF40E}" name="Valor" dataDxfId="192"/>
    <tableColumn id="3" xr3:uid="{30C8A7BB-2890-4CA5-82AF-D826A86A5F58}" name="Obs" dataDxfId="191"/>
  </tableColumns>
  <tableStyleInfo name="TableStyleMedium15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D513F609-F187-46A7-9D24-767DA03F784B}" name="Tabela413172125293337414549535761656973778185899397101105109113117121125129137141145149153157161165173177181185189193197" displayName="Tabela413172125293337414549535761656973778185899397101105109113117121125129137141145149153157161165173177181185189193197" ref="A14:C22" totalsRowShown="0" headerRowDxfId="190" dataDxfId="189">
  <autoFilter ref="A14:C22" xr:uid="{00000000-0009-0000-0100-000050000000}"/>
  <tableColumns count="3">
    <tableColumn id="1" xr3:uid="{D5AA7F40-CE34-4569-93AE-2D8B0B32E1E8}" name="Casa " dataDxfId="188"/>
    <tableColumn id="2" xr3:uid="{D5D7D935-5A2E-4F2A-9C8F-1106EAFD7E40}" name="Valor" dataDxfId="187">
      <calculatedColumnFormula>SUM(B14:B14)</calculatedColumnFormula>
    </tableColumn>
    <tableColumn id="3" xr3:uid="{904BD394-335F-42FB-9D47-32EA68F18F74}" name="Coluna1" dataDxfId="186"/>
  </tableColumns>
  <tableStyleInfo name="TableStyleMedium15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85C2DE8E-1A5A-4C9F-A093-AB2FDFEE0336}" name="Tabela11014182226303438424650545862667074788286909498102106110114118122126134138142146150154158162170174178182186190194198" displayName="Tabela11014182226303438424650545862667074788286909498102106110114118122126134138142146150154158162170174178182186190194198" ref="A5:E6" totalsRowShown="0" headerRowDxfId="185" dataDxfId="184">
  <autoFilter ref="A5:E6" xr:uid="{00000000-0009-0000-0100-00004D000000}"/>
  <tableColumns count="5">
    <tableColumn id="1" xr3:uid="{7B6619C8-BDC3-4739-9FAC-10BB763DF9FE}" name="ENTRADA" dataDxfId="183">
      <calculatedColumnFormula>34361.25+19057.5</calculatedColumnFormula>
    </tableColumn>
    <tableColumn id="2" xr3:uid="{E462F701-AF9E-413C-B140-BE4AE1BB64BF}" name="INSS 3%" dataDxfId="182">
      <calculatedColumnFormula>Tabela11014182226303438424650545862667074788286909498102106110114118122126134138142146150154158162170174178182186190194198[ENTRADA]*3/100</calculatedColumnFormula>
    </tableColumn>
    <tableColumn id="3" xr3:uid="{3AD873BD-16F6-49E5-BCD5-04A891C7B3DC}" name="DIZIMO 10%" dataDxfId="181">
      <calculatedColumnFormula>Tabela11014182226303438424650545862667074788286909498102106110114118122126134138142146150154158162170174178182186190194198[ENTRADA]*10/100</calculatedColumnFormula>
    </tableColumn>
    <tableColumn id="4" xr3:uid="{72824F05-18F0-4097-A817-12136252FF92}" name="Renda 87%" dataDxfId="180">
      <calculatedColumnFormula>Tabela11014182226303438424650545862667074788286909498102106110114118122126134138142146150154158162170174178182186190194198[ENTRADA]-(Tabela11014182226303438424650545862667074788286909498102106110114118122126134138142146150154158162170174178182186190194198[INSS 3%]+Tabela11014182226303438424650545862667074788286909498102106110114118122126134138142146150154158162170174178182186190194198[DIZIMO 10%])</calculatedColumnFormula>
    </tableColumn>
    <tableColumn id="5" xr3:uid="{1E4DD580-A4A6-49D5-92FC-5D883F587512}" name="Saldo Final" dataDxfId="179">
      <calculatedColumnFormula>Tabela11014182226303438424650545862667074788286909498102106110114118122126134138142146150154158162170174178182186190194198[Renda 87%]-(B13+B23+B31)</calculatedColumnFormula>
    </tableColumn>
  </tableColumns>
  <tableStyleInfo name="TableStyleLight8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826B17C8-CABB-4ED1-B743-EEECA0E80034}" name="Tabela21115192327313539434751555963677175798387919599103107111115119123127135139143147151155159163171175179183187191195199" displayName="Tabela21115192327313539434751555963677175798387919599103107111115119123127135139143147151155159163171175179183187191195199" ref="A8:C13" totalsRowShown="0" headerRowDxfId="178" dataDxfId="177">
  <autoFilter ref="A8:C13" xr:uid="{00000000-0009-0000-0100-00004E000000}"/>
  <tableColumns count="3">
    <tableColumn id="1" xr3:uid="{A7EF437B-841F-4111-8174-33569BE40ADD}" name="Dividas" dataDxfId="176"/>
    <tableColumn id="2" xr3:uid="{1ACB84E5-E2B7-45C2-9B50-2E6B7487D8D8}" name="Valor" dataDxfId="175">
      <calculatedColumnFormula>SUM(B8:B8)</calculatedColumnFormula>
    </tableColumn>
    <tableColumn id="3" xr3:uid="{532AD138-A5CA-42D5-8D54-FDC740BB7FD4}" name="Obs" dataDxfId="174"/>
  </tableColumns>
  <tableStyleInfo name="TableStyleMedium15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EDD75781-13AD-42EF-9665-E501E37A5F0A}" name="Tabela312162024283236404448525660646872768084889296100104108112116120124128136140144148152156160164172176180184188192196200" displayName="Tabela312162024283236404448525660646872768084889296100104108112116120124128136140144148152156160164172176180184188192196200" ref="A25:C31" totalsRowShown="0" headerRowDxfId="173" dataDxfId="172">
  <autoFilter ref="A25:C31" xr:uid="{00000000-0009-0000-0100-00004F000000}"/>
  <sortState xmlns:xlrd2="http://schemas.microsoft.com/office/spreadsheetml/2017/richdata2" ref="A26:B31">
    <sortCondition ref="A24:A30"/>
  </sortState>
  <tableColumns count="3">
    <tableColumn id="1" xr3:uid="{0438087F-F610-4C89-8DB1-C49741AB71FB}" name="Familia" dataDxfId="171"/>
    <tableColumn id="2" xr3:uid="{390AE7A6-848F-4856-ADC7-BFF2AAFE570A}" name="Valor" dataDxfId="170"/>
    <tableColumn id="3" xr3:uid="{FC822D5A-5DDC-44F4-A372-F2CBB994F01C}" name="Obs" dataDxfId="169"/>
  </tableColumns>
  <tableStyleInfo name="TableStyleMedium15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23B92CC4-F7EE-4F15-9F13-0B0C1EDAC0B1}" name="Tabela413172125293337414549535761656973778185899397101105109113117121125129137141145149153157161165173177181185189193197201" displayName="Tabela413172125293337414549535761656973778185899397101105109113117121125129137141145149153157161165173177181185189193197201" ref="A15:C23" totalsRowShown="0" headerRowDxfId="168" dataDxfId="167">
  <autoFilter ref="A15:C23" xr:uid="{00000000-0009-0000-0100-000050000000}"/>
  <tableColumns count="3">
    <tableColumn id="1" xr3:uid="{0F9A9BD1-F57A-46F1-BA4E-BB5EFA5ECC4B}" name="Casa " dataDxfId="166"/>
    <tableColumn id="2" xr3:uid="{CF0A7407-934E-4339-A53E-CF701ED80FDE}" name="Valor" dataDxfId="165">
      <calculatedColumnFormula>SUM(B15:B15)</calculatedColumnFormula>
    </tableColumn>
    <tableColumn id="3" xr3:uid="{B137BBF8-1015-4123-9297-1A2E9670CD94}" name="Coluna1" dataDxfId="164"/>
  </tableColumns>
  <tableStyleInfo name="TableStyleMedium15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294B92B4-347A-4FDE-96D8-16227F84F4D2}" name="Tabela11014182226303438424650545862667074788286909498102106110114118122126134138142146150154158162170174178182186190194198202" displayName="Tabela11014182226303438424650545862667074788286909498102106110114118122126134138142146150154158162170174178182186190194198202" ref="A5:E6" totalsRowShown="0" headerRowDxfId="163" dataDxfId="162">
  <autoFilter ref="A5:E6" xr:uid="{00000000-0009-0000-0100-00004D000000}"/>
  <tableColumns count="5">
    <tableColumn id="1" xr3:uid="{30C48F3E-D78F-49EA-A195-AAE028F99535}" name="ENTRADA" dataDxfId="161">
      <calculatedColumnFormula>34361.25+19057.5</calculatedColumnFormula>
    </tableColumn>
    <tableColumn id="2" xr3:uid="{BBAE1E0D-63C1-46DD-83E7-E2D900D76663}" name="INSS 3%" dataDxfId="160">
      <calculatedColumnFormula>Tabela11014182226303438424650545862667074788286909498102106110114118122126134138142146150154158162170174178182186190194198202[ENTRADA]*3/100</calculatedColumnFormula>
    </tableColumn>
    <tableColumn id="3" xr3:uid="{D7816C20-01DD-4570-936B-0F604F2BFAA4}" name="DIZIMO 10%" dataDxfId="159">
      <calculatedColumnFormula>Tabela11014182226303438424650545862667074788286909498102106110114118122126134138142146150154158162170174178182186190194198202[ENTRADA]*10/100</calculatedColumnFormula>
    </tableColumn>
    <tableColumn id="4" xr3:uid="{0A3C0A30-75A5-43C8-BC16-DACDF3A411D1}" name="Renda 87%" dataDxfId="158">
      <calculatedColumnFormula>Tabela11014182226303438424650545862667074788286909498102106110114118122126134138142146150154158162170174178182186190194198202[ENTRADA]-(Tabela11014182226303438424650545862667074788286909498102106110114118122126134138142146150154158162170174178182186190194198202[INSS 3%]+Tabela11014182226303438424650545862667074788286909498102106110114118122126134138142146150154158162170174178182186190194198202[DIZIMO 10%])</calculatedColumnFormula>
    </tableColumn>
    <tableColumn id="5" xr3:uid="{CD561925-C76F-4BC7-B30E-642DF286FC9F}" name="Saldo Final" dataDxfId="157">
      <calculatedColumnFormula>Tabela11014182226303438424650545862667074788286909498102106110114118122126134138142146150154158162170174178182186190194198202[Renda 87%]-(B13+B23+B31)</calculatedColumnFormula>
    </tableColumn>
  </tableColumns>
  <tableStyleInfo name="TableStyleLight8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7C4C6DBA-5585-404A-B7D3-0F18EC44D7DA}" name="Tabela21115192327313539434751555963677175798387919599103107111115119123127135139143147151155159163171175179183187191195199203" displayName="Tabela21115192327313539434751555963677175798387919599103107111115119123127135139143147151155159163171175179183187191195199203" ref="A8:C13" totalsRowShown="0" headerRowDxfId="156" dataDxfId="155">
  <autoFilter ref="A8:C13" xr:uid="{00000000-0009-0000-0100-00004E000000}"/>
  <tableColumns count="3">
    <tableColumn id="1" xr3:uid="{7F8DA22F-95BD-412E-A6A1-6E681CB3C0A1}" name="Dividas" dataDxfId="154"/>
    <tableColumn id="2" xr3:uid="{BB2B0723-AE0F-42CC-9FF5-1E0A911C4539}" name="Valor" dataDxfId="153">
      <calculatedColumnFormula>SUM(B8:B8)</calculatedColumnFormula>
    </tableColumn>
    <tableColumn id="3" xr3:uid="{96CF893A-DA0A-4CB5-BE52-8E24B1E24DF6}" name="Obs" dataDxfId="152"/>
  </tableColumns>
  <tableStyleInfo name="TableStyleMedium15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1F7B754C-38D3-4030-B4C8-41714299F061}" name="Tabela312162024283236404448525660646872768084889296100104108112116120124128136140144148152156160164172176180184188192196200204" displayName="Tabela312162024283236404448525660646872768084889296100104108112116120124128136140144148152156160164172176180184188192196200204" ref="A25:C31" totalsRowShown="0" headerRowDxfId="151" dataDxfId="150">
  <autoFilter ref="A25:C31" xr:uid="{00000000-0009-0000-0100-00004F000000}"/>
  <sortState xmlns:xlrd2="http://schemas.microsoft.com/office/spreadsheetml/2017/richdata2" ref="A26:B31">
    <sortCondition ref="A24:A30"/>
  </sortState>
  <tableColumns count="3">
    <tableColumn id="1" xr3:uid="{DE931B0A-ADC3-4E2D-94C8-AE65F402C78A}" name="Familia" dataDxfId="149"/>
    <tableColumn id="2" xr3:uid="{F9970B13-44BE-4E13-8E24-52957A97198A}" name="Valor" dataDxfId="148"/>
    <tableColumn id="3" xr3:uid="{FE92B4E7-990C-46F0-B844-8FAB16A8FB86}" name="Obs" dataDxfId="147"/>
  </tableColumns>
  <tableStyleInfo name="TableStyleMedium15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5D060201-724C-4B23-BBDA-30B98321B293}" name="Tabela413172125293337414549535761656973778185899397101105109113117121125129137141145149153157161165173177181185189193197201205" displayName="Tabela413172125293337414549535761656973778185899397101105109113117121125129137141145149153157161165173177181185189193197201205" ref="A15:C23" totalsRowShown="0" headerRowDxfId="146" dataDxfId="145">
  <autoFilter ref="A15:C23" xr:uid="{00000000-0009-0000-0100-000050000000}"/>
  <tableColumns count="3">
    <tableColumn id="1" xr3:uid="{5E5EC02D-F2A6-4C5F-BC7B-4DA31E2F7EBF}" name="Casa " dataDxfId="144"/>
    <tableColumn id="2" xr3:uid="{F89AFB10-834B-4534-BD4E-A936908A5038}" name="Valor" dataDxfId="143">
      <calculatedColumnFormula>SUM(B15:B15)</calculatedColumnFormula>
    </tableColumn>
    <tableColumn id="3" xr3:uid="{104A8FB5-D774-42BF-AA2C-A8A0C119D29F}" name="Coluna1" dataDxfId="142"/>
  </tableColumns>
  <tableStyleInfo name="TableStyleMedium15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A2F996F4-E9D4-45DD-8634-6E0EA553B584}" name="Tabela11014182226303438424650545862667074788286909498102106110114118122126134138142146150154158162170174178182186190194198202206" displayName="Tabela11014182226303438424650545862667074788286909498102106110114118122126134138142146150154158162170174178182186190194198202206" ref="A5:E6" totalsRowShown="0" headerRowDxfId="141" dataDxfId="140">
  <autoFilter ref="A5:E6" xr:uid="{00000000-0009-0000-0100-00004D000000}"/>
  <tableColumns count="5">
    <tableColumn id="1" xr3:uid="{9D8CD3B9-4CA6-4C08-B312-34F116BED49A}" name="ENTRADA" dataDxfId="139">
      <calculatedColumnFormula>34361.25+19057.5</calculatedColumnFormula>
    </tableColumn>
    <tableColumn id="2" xr3:uid="{97E5B6E6-25E8-4093-914F-DD6137DD8948}" name="INSS 3%" dataDxfId="138">
      <calculatedColumnFormula>Tabela11014182226303438424650545862667074788286909498102106110114118122126134138142146150154158162170174178182186190194198202206[ENTRADA]*3/100</calculatedColumnFormula>
    </tableColumn>
    <tableColumn id="3" xr3:uid="{CCCAE40B-B421-4ADC-8700-EF1875454ACA}" name="DIZIMO 10%" dataDxfId="137">
      <calculatedColumnFormula>Tabela11014182226303438424650545862667074788286909498102106110114118122126134138142146150154158162170174178182186190194198202206[ENTRADA]*10/100</calculatedColumnFormula>
    </tableColumn>
    <tableColumn id="4" xr3:uid="{06A95388-7500-4E2A-8DE2-5BDE6DA42A57}" name="Renda 87%" dataDxfId="136">
      <calculatedColumnFormula>Tabela11014182226303438424650545862667074788286909498102106110114118122126134138142146150154158162170174178182186190194198202206[ENTRADA]-(Tabela11014182226303438424650545862667074788286909498102106110114118122126134138142146150154158162170174178182186190194198202206[INSS 3%]+Tabela11014182226303438424650545862667074788286909498102106110114118122126134138142146150154158162170174178182186190194198202206[DIZIMO 10%])</calculatedColumnFormula>
    </tableColumn>
    <tableColumn id="5" xr3:uid="{7D715021-D6B7-4D63-846D-9ECFAA53E985}" name="Saldo Final" dataDxfId="135">
      <calculatedColumnFormula>Tabela11014182226303438424650545862667074788286909498102106110114118122126134138142146150154158162170174178182186190194198202206[Renda 87%]-(B15+B26+B34)</calculatedColumnFormula>
    </tableColumn>
  </tableColumns>
  <tableStyleInfo name="TableStyleLight8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C7E7BFCB-1596-4075-AA75-D4F6C8D6039C}" name="Tabela21115192327313539434751555963677175798387919599103107111115119123127135139143147151155159163171175179183187191195199203207" displayName="Tabela21115192327313539434751555963677175798387919599103107111115119123127135139143147151155159163171175179183187191195199203207" ref="A8:C15" totalsRowShown="0" headerRowDxfId="134" dataDxfId="133">
  <autoFilter ref="A8:C15" xr:uid="{00000000-0009-0000-0100-00004E000000}"/>
  <tableColumns count="3">
    <tableColumn id="1" xr3:uid="{BF54687D-1389-44A9-A4C7-773FAB49396B}" name="Dividas" dataDxfId="132"/>
    <tableColumn id="2" xr3:uid="{8BDDA8AF-7946-497F-BDE7-DFF63873717E}" name="Valor" dataDxfId="131">
      <calculatedColumnFormula>SUM(B8:B8)</calculatedColumnFormula>
    </tableColumn>
    <tableColumn id="3" xr3:uid="{7AC9B4A3-C194-4848-AEFD-C2362AF55DB8}" name="Obs" dataDxfId="130"/>
  </tableColumns>
  <tableStyleInfo name="TableStyleMedium15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E89C97BB-B10F-438F-877C-72BEBB89B0D1}" name="Tabela312162024283236404448525660646872768084889296100104108112116120124128136140144148152156160164172176180184188192196200204208" displayName="Tabela312162024283236404448525660646872768084889296100104108112116120124128136140144148152156160164172176180184188192196200204208" ref="A28:C34" totalsRowShown="0" headerRowDxfId="129" dataDxfId="128">
  <autoFilter ref="A28:C34" xr:uid="{00000000-0009-0000-0100-00004F000000}"/>
  <sortState xmlns:xlrd2="http://schemas.microsoft.com/office/spreadsheetml/2017/richdata2" ref="A29:B34">
    <sortCondition ref="A27:A33"/>
  </sortState>
  <tableColumns count="3">
    <tableColumn id="1" xr3:uid="{C7DCA235-51D7-4A2B-8ABF-01CFD79EF7FF}" name="Familia" dataDxfId="127"/>
    <tableColumn id="2" xr3:uid="{4D80188F-4518-4E8F-8F60-177BE956FD6E}" name="Valor" dataDxfId="126"/>
    <tableColumn id="3" xr3:uid="{13930D74-A057-4B2B-9595-E00323BC6764}" name="Obs" dataDxfId="125"/>
  </tableColumns>
  <tableStyleInfo name="TableStyleMedium15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EF2083F1-CB4C-42D1-BFE6-A21BD8643489}" name="Tabela413172125293337414549535761656973778185899397101105109113117121125129137141145149153157161165173177181185189193197201205209" displayName="Tabela413172125293337414549535761656973778185899397101105109113117121125129137141145149153157161165173177181185189193197201205209" ref="A17:C26" totalsRowShown="0" headerRowDxfId="124" dataDxfId="123">
  <autoFilter ref="A17:C26" xr:uid="{00000000-0009-0000-0100-000050000000}"/>
  <tableColumns count="3">
    <tableColumn id="1" xr3:uid="{EE65DC37-FAD6-4C39-9F99-AA45AA4FF518}" name="Casa " dataDxfId="122"/>
    <tableColumn id="2" xr3:uid="{F47983CC-74B3-47CD-BD9E-5F3FF715B3F0}" name="Valor" dataDxfId="121">
      <calculatedColumnFormula>SUM(B17:B17)</calculatedColumnFormula>
    </tableColumn>
    <tableColumn id="3" xr3:uid="{8F187F3B-7E43-456A-82DF-F78B2D409562}" name="Coluna1" dataDxfId="120"/>
  </tableColumns>
  <tableStyleInfo name="TableStyleMedium15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EB1CD6FD-6E28-48F1-B49D-7274FC788542}" name="Tabela11014182226303438424650545862667074788286909498102106110114118122126134138142146150154158162170174178182186190194198202206210" displayName="Tabela11014182226303438424650545862667074788286909498102106110114118122126134138142146150154158162170174178182186190194198202206210" ref="A5:E6" totalsRowShown="0" headerRowDxfId="119" dataDxfId="118">
  <autoFilter ref="A5:E6" xr:uid="{00000000-0009-0000-0100-00004D000000}"/>
  <tableColumns count="5">
    <tableColumn id="1" xr3:uid="{B6FC1516-0341-402B-919D-1262A4C4845F}" name="ENTRADA" dataDxfId="117">
      <calculatedColumnFormula>34361.25+19057.5</calculatedColumnFormula>
    </tableColumn>
    <tableColumn id="2" xr3:uid="{2C0F78DB-0071-4FF4-BD24-BCBDD421AA35}" name="INSS 3%" dataDxfId="116">
      <calculatedColumnFormula>Tabela11014182226303438424650545862667074788286909498102106110114118122126134138142146150154158162170174178182186190194198202206210[ENTRADA]*3/100</calculatedColumnFormula>
    </tableColumn>
    <tableColumn id="3" xr3:uid="{50DC2F5C-249E-4C68-853F-784C17ECF520}" name="DIZIMO 10%" dataDxfId="115">
      <calculatedColumnFormula>Tabela11014182226303438424650545862667074788286909498102106110114118122126134138142146150154158162170174178182186190194198202206210[ENTRADA]*10/100</calculatedColumnFormula>
    </tableColumn>
    <tableColumn id="4" xr3:uid="{6D84651F-8AFF-4381-A1C6-E058BEC624BF}" name="Renda 87%" dataDxfId="114">
      <calculatedColumnFormula>Tabela11014182226303438424650545862667074788286909498102106110114118122126134138142146150154158162170174178182186190194198202206210[ENTRADA]-(Tabela11014182226303438424650545862667074788286909498102106110114118122126134138142146150154158162170174178182186190194198202206210[INSS 3%]+Tabela11014182226303438424650545862667074788286909498102106110114118122126134138142146150154158162170174178182186190194198202206210[DIZIMO 10%])</calculatedColumnFormula>
    </tableColumn>
    <tableColumn id="5" xr3:uid="{3216E4B7-E5A9-4C93-AB23-88AC0204029D}" name="Saldo Final" dataDxfId="113">
      <calculatedColumnFormula>Tabela11014182226303438424650545862667074788286909498102106110114118122126134138142146150154158162170174178182186190194198202206210[Renda 87%]-(B13+B24+B32)</calculatedColumnFormula>
    </tableColumn>
  </tableColumns>
  <tableStyleInfo name="TableStyleLight8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7C8C8A3A-009F-495A-A088-2C65C6B29BB6}" name="Tabela21115192327313539434751555963677175798387919599103107111115119123127135139143147151155159163171175179183187191195199203207211" displayName="Tabela21115192327313539434751555963677175798387919599103107111115119123127135139143147151155159163171175179183187191195199203207211" ref="A8:D13" totalsRowShown="0" headerRowDxfId="112" dataDxfId="111">
  <autoFilter ref="A8:D13" xr:uid="{00000000-0009-0000-0100-00004E000000}"/>
  <tableColumns count="4">
    <tableColumn id="1" xr3:uid="{A9EEF5E8-A883-44BE-873C-AEEE73E03315}" name="Dividas" dataDxfId="110"/>
    <tableColumn id="2" xr3:uid="{21E1EAD9-AFA6-4C98-8BD9-4BFBB91773F6}" name="Valor" dataDxfId="109">
      <calculatedColumnFormula>SUM(B8:B8)</calculatedColumnFormula>
    </tableColumn>
    <tableColumn id="4" xr3:uid="{3EB0CCF4-5226-4F04-9EA3-6B4447050497}" name="Coluna1" dataDxfId="108"/>
    <tableColumn id="3" xr3:uid="{6295A3CE-0906-49DE-97C6-9463F6EBDACB}" name="Obs" dataDxfId="107"/>
  </tableColumns>
  <tableStyleInfo name="TableStyleMedium15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487DF1A9-2180-46C1-B839-EB1C5E14AAD7}" name="Tabela312162024283236404448525660646872768084889296100104108112116120124128136140144148152156160164172176180184188192196200204208212" displayName="Tabela312162024283236404448525660646872768084889296100104108112116120124128136140144148152156160164172176180184188192196200204208212" ref="A26:C32" totalsRowShown="0" headerRowDxfId="106" dataDxfId="105">
  <autoFilter ref="A26:C32" xr:uid="{00000000-0009-0000-0100-00004F000000}"/>
  <sortState xmlns:xlrd2="http://schemas.microsoft.com/office/spreadsheetml/2017/richdata2" ref="A27:B32">
    <sortCondition ref="A25:A31"/>
  </sortState>
  <tableColumns count="3">
    <tableColumn id="1" xr3:uid="{7CCC2D79-886B-47F9-8C5E-6DB2CC1BD890}" name="Familia" dataDxfId="104"/>
    <tableColumn id="2" xr3:uid="{D821E1DC-0EDD-40A4-A779-2BFC4BE32FEE}" name="Valor" dataDxfId="103"/>
    <tableColumn id="3" xr3:uid="{04AB13C9-33B1-4463-8E4E-D2CD7E63C5ED}" name="Obs" dataDxfId="102"/>
  </tableColumns>
  <tableStyleInfo name="TableStyleMedium15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9182DA9D-7CB9-452F-85C8-BA3C1F40C4AA}" name="Tabela413172125293337414549535761656973778185899397101105109113117121125129137141145149153157161165173177181185189193197201205209213" displayName="Tabela413172125293337414549535761656973778185899397101105109113117121125129137141145149153157161165173177181185189193197201205209213" ref="A15:D24" totalsRowShown="0" headerRowDxfId="101" dataDxfId="100">
  <autoFilter ref="A15:D24" xr:uid="{00000000-0009-0000-0100-000050000000}"/>
  <tableColumns count="4">
    <tableColumn id="1" xr3:uid="{913046CD-2725-4C9E-828D-D30EC9198A0E}" name="Casa " dataDxfId="99"/>
    <tableColumn id="2" xr3:uid="{9C5F9165-D344-41F6-9D50-2932BCABA062}" name="Valor" dataDxfId="98">
      <calculatedColumnFormula>SUM(B15:B15)</calculatedColumnFormula>
    </tableColumn>
    <tableColumn id="4" xr3:uid="{73C8964E-07C4-40BC-8609-3287955841D0}" name="Coluna2" dataDxfId="97"/>
    <tableColumn id="3" xr3:uid="{4554845B-7677-4662-A195-CE8B7A8B7355}" name="Coluna1" dataDxfId="96"/>
  </tableColumns>
  <tableStyleInfo name="TableStyleMedium15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797E964B-348F-BC44-BDBE-9152AF52BCF2}" name="Tabela11014182226303438424650545862667074788286909498102106110114118122126134138142146150154158162170174178182186190194198202206210214" displayName="Tabela11014182226303438424650545862667074788286909498102106110114118122126134138142146150154158162170174178182186190194198202206210214" ref="A5:E6" totalsRowShown="0" headerRowDxfId="95" dataDxfId="94">
  <autoFilter ref="A5:E6" xr:uid="{00000000-0009-0000-0100-00004D000000}"/>
  <tableColumns count="5">
    <tableColumn id="1" xr3:uid="{9D54B2A8-DFA1-1948-BC75-956ED4A22440}" name="ENTRADA" dataDxfId="93">
      <calculatedColumnFormula>34361.25+19057.5</calculatedColumnFormula>
    </tableColumn>
    <tableColumn id="2" xr3:uid="{B5619DFB-5920-334E-8584-EF644AF3B804}" name="INSS 3%" dataDxfId="92">
      <calculatedColumnFormula>Tabela11014182226303438424650545862667074788286909498102106110114118122126134138142146150154158162170174178182186190194198202206210214[ENTRADA]*3/100</calculatedColumnFormula>
    </tableColumn>
    <tableColumn id="3" xr3:uid="{E2951B0B-2ACD-4E43-9659-ECE0CBCF13B5}" name="DIZIMO 10%" dataDxfId="91">
      <calculatedColumnFormula>Tabela11014182226303438424650545862667074788286909498102106110114118122126134138142146150154158162170174178182186190194198202206210214[ENTRADA]*10/100</calculatedColumnFormula>
    </tableColumn>
    <tableColumn id="4" xr3:uid="{BB2A6BC9-271D-5E48-8334-C3B902D378BD}" name="Renda 87%" dataDxfId="90">
      <calculatedColumnFormula>Tabela11014182226303438424650545862667074788286909498102106110114118122126134138142146150154158162170174178182186190194198202206210214[ENTRADA]-(Tabela11014182226303438424650545862667074788286909498102106110114118122126134138142146150154158162170174178182186190194198202206210214[INSS 3%]+Tabela11014182226303438424650545862667074788286909498102106110114118122126134138142146150154158162170174178182186190194198202206210214[DIZIMO 10%])</calculatedColumnFormula>
    </tableColumn>
    <tableColumn id="5" xr3:uid="{AD3553AA-F2CA-A449-BF7E-7C9E90645EFA}" name="Saldo Final" dataDxfId="89">
      <calculatedColumnFormula>Tabela11014182226303438424650545862667074788286909498102106110114118122126134138142146150154158162170174178182186190194198202206210214[Renda 87%]-(B13+B24+B33)</calculatedColumnFormula>
    </tableColumn>
  </tableColumns>
  <tableStyleInfo name="TableStyleLight8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A0E75719-EAE9-804A-8006-03C485B7E635}" name="Tabela21115192327313539434751555963677175798387919599103107111115119123127135139143147151155159163171175179183187191195199203207211215" displayName="Tabela21115192327313539434751555963677175798387919599103107111115119123127135139143147151155159163171175179183187191195199203207211215" ref="A8:D13" totalsRowShown="0" headerRowDxfId="88" dataDxfId="87">
  <autoFilter ref="A8:D13" xr:uid="{00000000-0009-0000-0100-00004E000000}"/>
  <tableColumns count="4">
    <tableColumn id="1" xr3:uid="{A5269525-764A-E749-9F36-354900900AC6}" name="Dividas" dataDxfId="86"/>
    <tableColumn id="2" xr3:uid="{8B5190C0-3A21-DC4E-AC87-4A5C5D3C6B35}" name="Valor" dataDxfId="85">
      <calculatedColumnFormula>SUM(B8:B8)</calculatedColumnFormula>
    </tableColumn>
    <tableColumn id="4" xr3:uid="{F794C30D-31E6-3046-9ED7-99F50ECF0280}" name="Coluna1" dataDxfId="84"/>
    <tableColumn id="3" xr3:uid="{B2EBFDFB-4352-B84F-8D3D-9B60A1FBE030}" name="Obs" dataDxfId="83"/>
  </tableColumns>
  <tableStyleInfo name="TableStyleMedium15"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1B2CDA75-35F4-9242-BE8E-C303ED63ABCD}" name="Tabela312162024283236404448525660646872768084889296100104108112116120124128136140144148152156160164172176180184188192196200204208212216" displayName="Tabela312162024283236404448525660646872768084889296100104108112116120124128136140144148152156160164172176180184188192196200204208212216" ref="A26:C33" totalsRowShown="0" headerRowDxfId="82" dataDxfId="81">
  <autoFilter ref="A26:C33" xr:uid="{00000000-0009-0000-0100-00004F000000}"/>
  <sortState xmlns:xlrd2="http://schemas.microsoft.com/office/spreadsheetml/2017/richdata2" ref="A27:B33">
    <sortCondition ref="A25:A32"/>
  </sortState>
  <tableColumns count="3">
    <tableColumn id="1" xr3:uid="{A80A36CF-D6EC-BB4D-B915-048C84305CFF}" name="Familia" dataDxfId="80"/>
    <tableColumn id="2" xr3:uid="{FA95DAF6-6845-A84C-A889-D2084B95474C}" name="Valor" dataDxfId="79"/>
    <tableColumn id="3" xr3:uid="{47BF357F-5846-4049-A4D3-7182EA9BA676}" name="Obs" dataDxfId="78"/>
  </tableColumns>
  <tableStyleInfo name="TableStyleMedium15"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5F3059C7-46F3-934E-93A6-51C68DC159B0}" name="Tabela413172125293337414549535761656973778185899397101105109113117121125129137141145149153157161165173177181185189193197201205209213217" displayName="Tabela413172125293337414549535761656973778185899397101105109113117121125129137141145149153157161165173177181185189193197201205209213217" ref="A15:D24" totalsRowShown="0" headerRowDxfId="77" dataDxfId="76">
  <autoFilter ref="A15:D24" xr:uid="{00000000-0009-0000-0100-000050000000}"/>
  <tableColumns count="4">
    <tableColumn id="1" xr3:uid="{37F24915-80A5-4148-94E7-E6747D260D84}" name="Casa " dataDxfId="75"/>
    <tableColumn id="2" xr3:uid="{6B2ADD97-BA75-464F-B026-DDD22A3C8F3D}" name="Valor" dataDxfId="74">
      <calculatedColumnFormula>SUM(B15:B15)</calculatedColumnFormula>
    </tableColumn>
    <tableColumn id="4" xr3:uid="{4FD37CD9-F070-0240-AE56-2F96DE70E27D}" name="Coluna2" dataDxfId="73"/>
    <tableColumn id="3" xr3:uid="{3E6EC462-578F-F64C-B1AE-3C8C4564D6AF}" name="Coluna1" dataDxfId="72"/>
  </tableColumns>
  <tableStyleInfo name="TableStyleMedium15"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E7AF771F-B7A9-4242-B615-713745B56A86}" name="Tabela11014182226303438424650545862667074788286909498102106110114118122126134138142146150154158162170174178182186190194198202206210214218" displayName="Tabela11014182226303438424650545862667074788286909498102106110114118122126134138142146150154158162170174178182186190194198202206210214218" ref="A5:E6" totalsRowShown="0" headerRowDxfId="71" dataDxfId="70">
  <autoFilter ref="A5:E6" xr:uid="{00000000-0009-0000-0100-00004D000000}"/>
  <tableColumns count="5">
    <tableColumn id="1" xr3:uid="{291EDADC-0F9F-F846-AB1A-12004B1CF14B}" name="ENTRADA" dataDxfId="69">
      <calculatedColumnFormula>34361.25+19057.5</calculatedColumnFormula>
    </tableColumn>
    <tableColumn id="2" xr3:uid="{ED7F8323-36ED-D849-90F4-C1ACD71EEA78}" name="INSS 3%" dataDxfId="68">
      <calculatedColumnFormula>Tabela11014182226303438424650545862667074788286909498102106110114118122126134138142146150154158162170174178182186190194198202206210214218[ENTRADA]*3/100</calculatedColumnFormula>
    </tableColumn>
    <tableColumn id="3" xr3:uid="{B38658C5-6DCA-EE4B-9CA1-2492E001E6FD}" name="DIZIMO 10%" dataDxfId="67">
      <calculatedColumnFormula>Tabela11014182226303438424650545862667074788286909498102106110114118122126134138142146150154158162170174178182186190194198202206210214218[ENTRADA]*10/100</calculatedColumnFormula>
    </tableColumn>
    <tableColumn id="4" xr3:uid="{32664F80-44EC-7541-A424-062BBE4EF8E4}" name="Renda 87%" dataDxfId="66">
      <calculatedColumnFormula>Tabela11014182226303438424650545862667074788286909498102106110114118122126134138142146150154158162170174178182186190194198202206210214218[ENTRADA]-(Tabela11014182226303438424650545862667074788286909498102106110114118122126134138142146150154158162170174178182186190194198202206210214218[INSS 3%]+Tabela11014182226303438424650545862667074788286909498102106110114118122126134138142146150154158162170174178182186190194198202206210214218[DIZIMO 10%])</calculatedColumnFormula>
    </tableColumn>
    <tableColumn id="5" xr3:uid="{D820D9CC-B09C-084E-84E2-41CDA9518CA0}" name="Saldo Final" dataDxfId="65">
      <calculatedColumnFormula>Tabela11014182226303438424650545862667074788286909498102106110114118122126134138142146150154158162170174178182186190194198202206210214218[Renda 87%]-(B13+B24+B33)</calculatedColumnFormula>
    </tableColumn>
  </tableColumns>
  <tableStyleInfo name="TableStyleLight8"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3E731AE4-476E-0449-BCE8-8F624BF1B48B}" name="Tabela21115192327313539434751555963677175798387919599103107111115119123127135139143147151155159163171175179183187191195199203207211215219" displayName="Tabela21115192327313539434751555963677175798387919599103107111115119123127135139143147151155159163171175179183187191195199203207211215219" ref="A8:D13" totalsRowShown="0" headerRowDxfId="64" dataDxfId="63">
  <autoFilter ref="A8:D13" xr:uid="{00000000-0009-0000-0100-00004E000000}"/>
  <tableColumns count="4">
    <tableColumn id="1" xr3:uid="{69C8C194-FE57-CD4C-9049-D0B2D28071A1}" name="Dividas" dataDxfId="62"/>
    <tableColumn id="2" xr3:uid="{E8BC6A67-D8E8-D247-9E4D-D694C98C767D}" name="Valor" dataDxfId="61">
      <calculatedColumnFormula>SUM(B8:B8)</calculatedColumnFormula>
    </tableColumn>
    <tableColumn id="4" xr3:uid="{3D8B945A-7109-0845-8756-4C66F482EE4E}" name="Coluna1" dataDxfId="60"/>
    <tableColumn id="3" xr3:uid="{F74218B7-62C2-9D42-81E9-CE63B27988E8}" name="Obs" dataDxfId="59"/>
  </tableColumns>
  <tableStyleInfo name="TableStyleMedium15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5A7A598F-0DEC-B549-9877-98C9DB24F232}" name="Tabela312162024283236404448525660646872768084889296100104108112116120124128136140144148152156160164172176180184188192196200204208212216220" displayName="Tabela312162024283236404448525660646872768084889296100104108112116120124128136140144148152156160164172176180184188192196200204208212216220" ref="A26:C33" totalsRowShown="0" headerRowDxfId="58" dataDxfId="57">
  <autoFilter ref="A26:C33" xr:uid="{00000000-0009-0000-0100-00004F000000}"/>
  <sortState xmlns:xlrd2="http://schemas.microsoft.com/office/spreadsheetml/2017/richdata2" ref="A27:B33">
    <sortCondition ref="A25:A32"/>
  </sortState>
  <tableColumns count="3">
    <tableColumn id="1" xr3:uid="{1BACA8D7-8596-E74C-B720-564A74EF9827}" name="Familia" dataDxfId="56"/>
    <tableColumn id="2" xr3:uid="{CDA7DEC1-8D45-AC4F-9AFC-7BECBF38A3FF}" name="Valor" dataDxfId="55"/>
    <tableColumn id="3" xr3:uid="{3ACF0A69-B7B2-AC42-AC89-A19A58C1F1E9}" name="Obs" dataDxfId="54"/>
  </tableColumns>
  <tableStyleInfo name="TableStyleMedium15"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4A3E7E7A-8010-3241-848F-3F31FC894416}" name="Tabela413172125293337414549535761656973778185899397101105109113117121125129137141145149153157161165173177181185189193197201205209213217221" displayName="Tabela413172125293337414549535761656973778185899397101105109113117121125129137141145149153157161165173177181185189193197201205209213217221" ref="A15:D24" totalsRowShown="0" headerRowDxfId="53" dataDxfId="52">
  <autoFilter ref="A15:D24" xr:uid="{00000000-0009-0000-0100-000050000000}"/>
  <tableColumns count="4">
    <tableColumn id="1" xr3:uid="{5EA8DF85-D4A4-E546-9465-3711781900EE}" name="Casa " dataDxfId="51"/>
    <tableColumn id="2" xr3:uid="{B78A882F-158A-C343-B123-94A5CE550833}" name="Valor" dataDxfId="50">
      <calculatedColumnFormula>SUM(B15:B15)</calculatedColumnFormula>
    </tableColumn>
    <tableColumn id="4" xr3:uid="{5B90FF7C-2720-BC40-A0B1-E763B83FE7F2}" name="Coluna2" dataDxfId="49"/>
    <tableColumn id="3" xr3:uid="{D557ABA2-8520-4345-AE56-89621DECD169}" name="Coluna1" dataDxfId="48"/>
  </tableColumns>
  <tableStyleInfo name="TableStyleMedium15"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64174866-2751-FB4D-AD2D-1EFE1ACD2B6C}" name="Tabela11014182226303438424650545862667074788286909498102106110114118122126134138142146150154158162170174178182186190194198202206210214218222" displayName="Tabela11014182226303438424650545862667074788286909498102106110114118122126134138142146150154158162170174178182186190194198202206210214218222" ref="A5:E6" totalsRowShown="0" headerRowDxfId="47" dataDxfId="46">
  <autoFilter ref="A5:E6" xr:uid="{00000000-0009-0000-0100-00004D000000}"/>
  <tableColumns count="5">
    <tableColumn id="1" xr3:uid="{6A0A56F6-C541-8F40-B886-95E5036A1E94}" name="ENTRADA" dataDxfId="45">
      <calculatedColumnFormula>34361.25+19057.5</calculatedColumnFormula>
    </tableColumn>
    <tableColumn id="2" xr3:uid="{61AFD6C0-088F-FB48-8612-132CB13928AC}" name="INSS 3%" dataDxfId="44">
      <calculatedColumnFormula>Tabela11014182226303438424650545862667074788286909498102106110114118122126134138142146150154158162170174178182186190194198202206210214218222[ENTRADA]*3/100</calculatedColumnFormula>
    </tableColumn>
    <tableColumn id="3" xr3:uid="{4F1D764C-F05D-744F-B76C-F5F7C78704F8}" name="DIZIMO 10%" dataDxfId="43">
      <calculatedColumnFormula>Tabela11014182226303438424650545862667074788286909498102106110114118122126134138142146150154158162170174178182186190194198202206210214218222[ENTRADA]*10/100</calculatedColumnFormula>
    </tableColumn>
    <tableColumn id="4" xr3:uid="{E113EBAE-B9DB-9D46-8691-67F82DD97EEF}" name="Renda 87%" dataDxfId="42">
      <calculatedColumnFormula>Tabela11014182226303438424650545862667074788286909498102106110114118122126134138142146150154158162170174178182186190194198202206210214218222[ENTRADA]-(Tabela11014182226303438424650545862667074788286909498102106110114118122126134138142146150154158162170174178182186190194198202206210214218222[INSS 3%]+Tabela11014182226303438424650545862667074788286909498102106110114118122126134138142146150154158162170174178182186190194198202206210214218222[DIZIMO 10%])</calculatedColumnFormula>
    </tableColumn>
    <tableColumn id="5" xr3:uid="{493C2AF8-38FE-214A-AAC2-7ED59F92967B}" name="Saldo Final" dataDxfId="41">
      <calculatedColumnFormula>Tabela11014182226303438424650545862667074788286909498102106110114118122126134138142146150154158162170174178182186190194198202206210214218222[Renda 87%]-(B13+B24+B33)</calculatedColumnFormula>
    </tableColumn>
  </tableColumns>
  <tableStyleInfo name="TableStyleLight8"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C610A87B-CFD0-2D43-AD12-EED74C6B8E31}" name="Tabela21115192327313539434751555963677175798387919599103107111115119123127135139143147151155159163171175179183187191195199203207211215219223" displayName="Tabela21115192327313539434751555963677175798387919599103107111115119123127135139143147151155159163171175179183187191195199203207211215219223" ref="A8:D13" totalsRowShown="0" headerRowDxfId="40" dataDxfId="39">
  <autoFilter ref="A8:D13" xr:uid="{00000000-0009-0000-0100-00004E000000}"/>
  <tableColumns count="4">
    <tableColumn id="1" xr3:uid="{48D60CE0-0742-174E-A72A-401CCD494F60}" name="Dividas" dataDxfId="38"/>
    <tableColumn id="2" xr3:uid="{5FFAD9E6-A0CD-DC42-B2FE-9FAC0796FEE3}" name="Valor" dataDxfId="37">
      <calculatedColumnFormula>SUM(B8:B8)</calculatedColumnFormula>
    </tableColumn>
    <tableColumn id="4" xr3:uid="{2E40209F-4F4F-6243-9EE3-FDC0460B9BEC}" name="Coluna1" dataDxfId="36"/>
    <tableColumn id="3" xr3:uid="{CAA2E55F-5549-064D-A716-81024861AB13}" name="Obs" dataDxfId="35"/>
  </tableColumns>
  <tableStyleInfo name="TableStyleMedium15"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5CB774CA-09FA-0C48-A91D-A45F08B1EDF7}" name="Tabela312162024283236404448525660646872768084889296100104108112116120124128136140144148152156160164172176180184188192196200204208212216220224" displayName="Tabela312162024283236404448525660646872768084889296100104108112116120124128136140144148152156160164172176180184188192196200204208212216220224" ref="A26:C33" totalsRowShown="0" headerRowDxfId="34" dataDxfId="33">
  <autoFilter ref="A26:C33" xr:uid="{00000000-0009-0000-0100-00004F000000}"/>
  <sortState xmlns:xlrd2="http://schemas.microsoft.com/office/spreadsheetml/2017/richdata2" ref="A27:B33">
    <sortCondition ref="A25:A32"/>
  </sortState>
  <tableColumns count="3">
    <tableColumn id="1" xr3:uid="{9AD7AA87-0B3C-8148-827C-AC45CA39738C}" name="Familia" dataDxfId="32"/>
    <tableColumn id="2" xr3:uid="{CD638D19-F9DE-344D-85BF-C50993D28FA5}" name="Valor" dataDxfId="31"/>
    <tableColumn id="3" xr3:uid="{F99307E8-A6CE-4247-8535-9E1FC0EBEFD9}" name="Obs" dataDxfId="30"/>
  </tableColumns>
  <tableStyleInfo name="TableStyleMedium15"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855BC58D-3A39-3B4B-8999-DCEEF277293F}" name="Tabela413172125293337414549535761656973778185899397101105109113117121125129137141145149153157161165173177181185189193197201205209213217221225" displayName="Tabela413172125293337414549535761656973778185899397101105109113117121125129137141145149153157161165173177181185189193197201205209213217221225" ref="A15:D24" totalsRowShown="0" headerRowDxfId="29" dataDxfId="28">
  <autoFilter ref="A15:D24" xr:uid="{00000000-0009-0000-0100-000050000000}"/>
  <tableColumns count="4">
    <tableColumn id="1" xr3:uid="{C2114622-653B-3E4C-A3C8-EF8A31D77D14}" name="Casa " dataDxfId="27"/>
    <tableColumn id="2" xr3:uid="{90B8D921-369D-9645-94AA-C065CEBE1143}" name="Valor" dataDxfId="26">
      <calculatedColumnFormula>SUM(B15:B15)</calculatedColumnFormula>
    </tableColumn>
    <tableColumn id="4" xr3:uid="{A0BCE8C1-AE89-9C45-B649-0F5DFCBD8E63}" name="Coluna2" dataDxfId="25"/>
    <tableColumn id="3" xr3:uid="{8132CE0D-7B69-DA4E-87D7-7550CA8CC567}" name="Coluna1" dataDxfId="24"/>
  </tableColumns>
  <tableStyleInfo name="TableStyleMedium15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1C018EC3-ADD6-49B9-B315-C752713CC243}" name="Tabela11014182226303438424650545862667074788286909498102106110114118122126134138142146150154158162170174178182186190194198202206210214218222226" displayName="Tabela11014182226303438424650545862667074788286909498102106110114118122126134138142146150154158162170174178182186190194198202206210214218222226" ref="A5:E6" totalsRowShown="0" headerRowDxfId="23" dataDxfId="22">
  <autoFilter ref="A5:E6" xr:uid="{00000000-0009-0000-0100-00004D000000}"/>
  <tableColumns count="5">
    <tableColumn id="1" xr3:uid="{99998E1E-CB85-4CB8-B9C4-4EFCEA39202C}" name="ENTRADA" dataDxfId="21">
      <calculatedColumnFormula>34361.25+19057.5</calculatedColumnFormula>
    </tableColumn>
    <tableColumn id="2" xr3:uid="{A356FC16-C73C-46E2-91C0-B3478A32A4FC}" name="INSS 3%" dataDxfId="20">
      <calculatedColumnFormula>Tabela11014182226303438424650545862667074788286909498102106110114118122126134138142146150154158162170174178182186190194198202206210214218222226[ENTRADA]*3/100</calculatedColumnFormula>
    </tableColumn>
    <tableColumn id="3" xr3:uid="{BC30AD57-9DF6-4D72-8016-07DC5D154F6E}" name="DIZIMO 10%" dataDxfId="19">
      <calculatedColumnFormula>Tabela11014182226303438424650545862667074788286909498102106110114118122126134138142146150154158162170174178182186190194198202206210214218222226[ENTRADA]*10/100</calculatedColumnFormula>
    </tableColumn>
    <tableColumn id="4" xr3:uid="{20F4F393-6402-4BFD-BC39-8837B5A6B859}" name="Renda 87%" dataDxfId="18">
      <calculatedColumnFormula>Tabela11014182226303438424650545862667074788286909498102106110114118122126134138142146150154158162170174178182186190194198202206210214218222226[ENTRADA]-(Tabela11014182226303438424650545862667074788286909498102106110114118122126134138142146150154158162170174178182186190194198202206210214218222226[INSS 3%]+Tabela11014182226303438424650545862667074788286909498102106110114118122126134138142146150154158162170174178182186190194198202206210214218222226[DIZIMO 10%])</calculatedColumnFormula>
    </tableColumn>
    <tableColumn id="5" xr3:uid="{860DB89F-3FB4-4DC3-9587-668558EB03EF}" name="Saldo Final" dataDxfId="17">
      <calculatedColumnFormula>Tabela11014182226303438424650545862667074788286909498102106110114118122126134138142146150154158162170174178182186190194198202206210214218222226[Renda 87%]-(B12+B23+B32)</calculatedColumnFormula>
    </tableColumn>
  </tableColumns>
  <tableStyleInfo name="TableStyleLight8"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8EAE62C4-770E-4D7F-BAFE-43867C20807F}" name="Tabela21115192327313539434751555963677175798387919599103107111115119123127135139143147151155159163171175179183187191195199203207211215219223227" displayName="Tabela21115192327313539434751555963677175798387919599103107111115119123127135139143147151155159163171175179183187191195199203207211215219223227" ref="A8:D12" totalsRowShown="0" headerRowDxfId="16" dataDxfId="15">
  <autoFilter ref="A8:D12" xr:uid="{00000000-0009-0000-0100-00004E000000}"/>
  <tableColumns count="4">
    <tableColumn id="1" xr3:uid="{C9AB1943-3EEB-4E04-844E-ED00C8820B2E}" name="Dividas" dataDxfId="14"/>
    <tableColumn id="2" xr3:uid="{C04DE931-895A-4449-BAB9-535234C2AC8C}" name="Valor" dataDxfId="13">
      <calculatedColumnFormula>SUM(B8:B8)</calculatedColumnFormula>
    </tableColumn>
    <tableColumn id="4" xr3:uid="{CA1A2E51-379A-487E-AA45-A230E6ABA7BF}" name="Coluna1" dataDxfId="12"/>
    <tableColumn id="3" xr3:uid="{14AB0F40-633C-4216-9918-9F7F53F06490}" name="Obs" dataDxfId="11"/>
  </tableColumns>
  <tableStyleInfo name="TableStyleMedium15"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7BCA6A5E-31FC-4A0C-B8DE-E4267B5313B4}" name="Tabela312162024283236404448525660646872768084889296100104108112116120124128136140144148152156160164172176180184188192196200204208212216220224228" displayName="Tabela312162024283236404448525660646872768084889296100104108112116120124128136140144148152156160164172176180184188192196200204208212216220224228" ref="A25:C32" totalsRowShown="0" headerRowDxfId="10" dataDxfId="9">
  <autoFilter ref="A25:C32" xr:uid="{00000000-0009-0000-0100-00004F000000}"/>
  <sortState xmlns:xlrd2="http://schemas.microsoft.com/office/spreadsheetml/2017/richdata2" ref="A26:B32">
    <sortCondition ref="A24:A31"/>
  </sortState>
  <tableColumns count="3">
    <tableColumn id="1" xr3:uid="{D3EB33BB-C344-4DEB-A184-C05338EE6641}" name="Familia" dataDxfId="8"/>
    <tableColumn id="2" xr3:uid="{F66F7084-7F3D-4A23-83B7-F7B635A4E95D}" name="Valor" dataDxfId="7"/>
    <tableColumn id="3" xr3:uid="{006515E9-7A70-417D-B9A4-87D97FC20533}" name="Obs" dataDxfId="6"/>
  </tableColumns>
  <tableStyleInfo name="TableStyleMedium15"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B2563E1D-20AD-4FBC-8124-C1518E82B784}" name="Tabela413172125293337414549535761656973778185899397101105109113117121125129137141145149153157161165173177181185189193197201205209213217221225229" displayName="Tabela413172125293337414549535761656973778185899397101105109113117121125129137141145149153157161165173177181185189193197201205209213217221225229" ref="A14:D23" totalsRowShown="0" headerRowDxfId="5" dataDxfId="4">
  <autoFilter ref="A14:D23" xr:uid="{00000000-0009-0000-0100-000050000000}"/>
  <tableColumns count="4">
    <tableColumn id="1" xr3:uid="{907B3652-554E-437F-8D7B-D9470C36CE9F}" name="Casa " dataDxfId="3"/>
    <tableColumn id="2" xr3:uid="{3EE610FA-5AD2-479C-B8D5-B89F79345BED}" name="Valor" dataDxfId="2">
      <calculatedColumnFormula>SUM(B14:B14)</calculatedColumnFormula>
    </tableColumn>
    <tableColumn id="4" xr3:uid="{392DB867-5AD9-4B1B-B2E0-18563D88F1E5}" name="Coluna2" dataDxfId="1"/>
    <tableColumn id="3" xr3:uid="{A10182E3-B64E-4954-805B-CC0B548A6D3F}" name="Coluna1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7.bin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32.xml"/><Relationship Id="rId4" Type="http://schemas.openxmlformats.org/officeDocument/2006/relationships/table" Target="../tables/table3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9.bin"/><Relationship Id="rId5" Type="http://schemas.openxmlformats.org/officeDocument/2006/relationships/table" Target="../tables/table36.xml"/><Relationship Id="rId4" Type="http://schemas.openxmlformats.org/officeDocument/2006/relationships/table" Target="../tables/table3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10.bin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11.bin"/><Relationship Id="rId5" Type="http://schemas.openxmlformats.org/officeDocument/2006/relationships/table" Target="../tables/table44.xml"/><Relationship Id="rId4" Type="http://schemas.openxmlformats.org/officeDocument/2006/relationships/table" Target="../tables/table4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printerSettings" Target="../printerSettings/printerSettings12.bin"/><Relationship Id="rId5" Type="http://schemas.openxmlformats.org/officeDocument/2006/relationships/table" Target="../tables/table48.xml"/><Relationship Id="rId4" Type="http://schemas.openxmlformats.org/officeDocument/2006/relationships/table" Target="../tables/table4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13.bin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14.bin"/><Relationship Id="rId5" Type="http://schemas.openxmlformats.org/officeDocument/2006/relationships/table" Target="../tables/table56.xml"/><Relationship Id="rId4" Type="http://schemas.openxmlformats.org/officeDocument/2006/relationships/table" Target="../tables/table5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8.xml"/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15.bin"/><Relationship Id="rId5" Type="http://schemas.openxmlformats.org/officeDocument/2006/relationships/table" Target="../tables/table60.xml"/><Relationship Id="rId4" Type="http://schemas.openxmlformats.org/officeDocument/2006/relationships/table" Target="../tables/table5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6.bin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6.xml"/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17.bin"/><Relationship Id="rId5" Type="http://schemas.openxmlformats.org/officeDocument/2006/relationships/table" Target="../tables/table68.xml"/><Relationship Id="rId4" Type="http://schemas.openxmlformats.org/officeDocument/2006/relationships/table" Target="../tables/table6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0.xml"/><Relationship Id="rId2" Type="http://schemas.openxmlformats.org/officeDocument/2006/relationships/table" Target="../tables/table69.xml"/><Relationship Id="rId1" Type="http://schemas.openxmlformats.org/officeDocument/2006/relationships/printerSettings" Target="../printerSettings/printerSettings18.bin"/><Relationship Id="rId5" Type="http://schemas.openxmlformats.org/officeDocument/2006/relationships/table" Target="../tables/table72.xml"/><Relationship Id="rId4" Type="http://schemas.openxmlformats.org/officeDocument/2006/relationships/table" Target="../tables/table7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9.bin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8.xml"/><Relationship Id="rId2" Type="http://schemas.openxmlformats.org/officeDocument/2006/relationships/table" Target="../tables/table77.xml"/><Relationship Id="rId1" Type="http://schemas.openxmlformats.org/officeDocument/2006/relationships/printerSettings" Target="../printerSettings/printerSettings20.bin"/><Relationship Id="rId5" Type="http://schemas.openxmlformats.org/officeDocument/2006/relationships/table" Target="../tables/table80.xml"/><Relationship Id="rId4" Type="http://schemas.openxmlformats.org/officeDocument/2006/relationships/table" Target="../tables/table7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2.xml"/><Relationship Id="rId2" Type="http://schemas.openxmlformats.org/officeDocument/2006/relationships/table" Target="../tables/table81.xml"/><Relationship Id="rId1" Type="http://schemas.openxmlformats.org/officeDocument/2006/relationships/printerSettings" Target="../printerSettings/printerSettings21.bin"/><Relationship Id="rId5" Type="http://schemas.openxmlformats.org/officeDocument/2006/relationships/table" Target="../tables/table84.xml"/><Relationship Id="rId4" Type="http://schemas.openxmlformats.org/officeDocument/2006/relationships/table" Target="../tables/table8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22.bin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0.xml"/><Relationship Id="rId2" Type="http://schemas.openxmlformats.org/officeDocument/2006/relationships/table" Target="../tables/table89.xml"/><Relationship Id="rId1" Type="http://schemas.openxmlformats.org/officeDocument/2006/relationships/printerSettings" Target="../printerSettings/printerSettings23.bin"/><Relationship Id="rId5" Type="http://schemas.openxmlformats.org/officeDocument/2006/relationships/table" Target="../tables/table92.xml"/><Relationship Id="rId4" Type="http://schemas.openxmlformats.org/officeDocument/2006/relationships/table" Target="../tables/table9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4.xml"/><Relationship Id="rId2" Type="http://schemas.openxmlformats.org/officeDocument/2006/relationships/table" Target="../tables/table93.xml"/><Relationship Id="rId1" Type="http://schemas.openxmlformats.org/officeDocument/2006/relationships/printerSettings" Target="../printerSettings/printerSettings24.bin"/><Relationship Id="rId5" Type="http://schemas.openxmlformats.org/officeDocument/2006/relationships/table" Target="../tables/table96.xml"/><Relationship Id="rId4" Type="http://schemas.openxmlformats.org/officeDocument/2006/relationships/table" Target="../tables/table9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25.bin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2.xml"/><Relationship Id="rId2" Type="http://schemas.openxmlformats.org/officeDocument/2006/relationships/table" Target="../tables/table101.xml"/><Relationship Id="rId1" Type="http://schemas.openxmlformats.org/officeDocument/2006/relationships/printerSettings" Target="../printerSettings/printerSettings26.bin"/><Relationship Id="rId5" Type="http://schemas.openxmlformats.org/officeDocument/2006/relationships/table" Target="../tables/table104.xml"/><Relationship Id="rId4" Type="http://schemas.openxmlformats.org/officeDocument/2006/relationships/table" Target="../tables/table103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6.xml"/><Relationship Id="rId2" Type="http://schemas.openxmlformats.org/officeDocument/2006/relationships/table" Target="../tables/table105.xml"/><Relationship Id="rId1" Type="http://schemas.openxmlformats.org/officeDocument/2006/relationships/printerSettings" Target="../printerSettings/printerSettings27.bin"/><Relationship Id="rId5" Type="http://schemas.openxmlformats.org/officeDocument/2006/relationships/table" Target="../tables/table108.xml"/><Relationship Id="rId4" Type="http://schemas.openxmlformats.org/officeDocument/2006/relationships/table" Target="../tables/table10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28.bin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4.xml"/><Relationship Id="rId2" Type="http://schemas.openxmlformats.org/officeDocument/2006/relationships/table" Target="../tables/table113.xml"/><Relationship Id="rId1" Type="http://schemas.openxmlformats.org/officeDocument/2006/relationships/printerSettings" Target="../printerSettings/printerSettings29.bin"/><Relationship Id="rId5" Type="http://schemas.openxmlformats.org/officeDocument/2006/relationships/table" Target="../tables/table116.xml"/><Relationship Id="rId4" Type="http://schemas.openxmlformats.org/officeDocument/2006/relationships/table" Target="../tables/table11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9.xml"/><Relationship Id="rId2" Type="http://schemas.openxmlformats.org/officeDocument/2006/relationships/table" Target="../tables/table118.xml"/><Relationship Id="rId1" Type="http://schemas.openxmlformats.org/officeDocument/2006/relationships/table" Target="../tables/table117.xml"/><Relationship Id="rId4" Type="http://schemas.openxmlformats.org/officeDocument/2006/relationships/table" Target="../tables/table12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2" Type="http://schemas.openxmlformats.org/officeDocument/2006/relationships/table" Target="../tables/table122.xml"/><Relationship Id="rId1" Type="http://schemas.openxmlformats.org/officeDocument/2006/relationships/table" Target="../tables/table121.xml"/><Relationship Id="rId4" Type="http://schemas.openxmlformats.org/officeDocument/2006/relationships/table" Target="../tables/table124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7.xml"/><Relationship Id="rId2" Type="http://schemas.openxmlformats.org/officeDocument/2006/relationships/table" Target="../tables/table126.xml"/><Relationship Id="rId1" Type="http://schemas.openxmlformats.org/officeDocument/2006/relationships/table" Target="../tables/table125.xml"/><Relationship Id="rId4" Type="http://schemas.openxmlformats.org/officeDocument/2006/relationships/table" Target="../tables/table128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1.xml"/><Relationship Id="rId2" Type="http://schemas.openxmlformats.org/officeDocument/2006/relationships/table" Target="../tables/table130.xml"/><Relationship Id="rId1" Type="http://schemas.openxmlformats.org/officeDocument/2006/relationships/table" Target="../tables/table129.xml"/><Relationship Id="rId4" Type="http://schemas.openxmlformats.org/officeDocument/2006/relationships/table" Target="../tables/table132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2" Type="http://schemas.openxmlformats.org/officeDocument/2006/relationships/table" Target="../tables/table134.xml"/><Relationship Id="rId1" Type="http://schemas.openxmlformats.org/officeDocument/2006/relationships/table" Target="../tables/table133.xml"/><Relationship Id="rId4" Type="http://schemas.openxmlformats.org/officeDocument/2006/relationships/table" Target="../tables/table136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9.xml"/><Relationship Id="rId2" Type="http://schemas.openxmlformats.org/officeDocument/2006/relationships/table" Target="../tables/table138.xml"/><Relationship Id="rId1" Type="http://schemas.openxmlformats.org/officeDocument/2006/relationships/table" Target="../tables/table137.xml"/><Relationship Id="rId4" Type="http://schemas.openxmlformats.org/officeDocument/2006/relationships/table" Target="../tables/table140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3.xml"/><Relationship Id="rId2" Type="http://schemas.openxmlformats.org/officeDocument/2006/relationships/table" Target="../tables/table142.xml"/><Relationship Id="rId1" Type="http://schemas.openxmlformats.org/officeDocument/2006/relationships/table" Target="../tables/table141.xml"/><Relationship Id="rId4" Type="http://schemas.openxmlformats.org/officeDocument/2006/relationships/table" Target="../tables/table144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2" Type="http://schemas.openxmlformats.org/officeDocument/2006/relationships/table" Target="../tables/table146.xml"/><Relationship Id="rId1" Type="http://schemas.openxmlformats.org/officeDocument/2006/relationships/table" Target="../tables/table145.xml"/><Relationship Id="rId4" Type="http://schemas.openxmlformats.org/officeDocument/2006/relationships/table" Target="../tables/table148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1.xml"/><Relationship Id="rId2" Type="http://schemas.openxmlformats.org/officeDocument/2006/relationships/table" Target="../tables/table150.xml"/><Relationship Id="rId1" Type="http://schemas.openxmlformats.org/officeDocument/2006/relationships/table" Target="../tables/table149.xml"/><Relationship Id="rId4" Type="http://schemas.openxmlformats.org/officeDocument/2006/relationships/table" Target="../tables/table152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5.xml"/><Relationship Id="rId2" Type="http://schemas.openxmlformats.org/officeDocument/2006/relationships/table" Target="../tables/table154.xml"/><Relationship Id="rId1" Type="http://schemas.openxmlformats.org/officeDocument/2006/relationships/table" Target="../tables/table153.xml"/><Relationship Id="rId4" Type="http://schemas.openxmlformats.org/officeDocument/2006/relationships/table" Target="../tables/table156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2" Type="http://schemas.openxmlformats.org/officeDocument/2006/relationships/table" Target="../tables/table158.xml"/><Relationship Id="rId1" Type="http://schemas.openxmlformats.org/officeDocument/2006/relationships/table" Target="../tables/table157.xml"/><Relationship Id="rId4" Type="http://schemas.openxmlformats.org/officeDocument/2006/relationships/table" Target="../tables/table160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3.xml"/><Relationship Id="rId2" Type="http://schemas.openxmlformats.org/officeDocument/2006/relationships/table" Target="../tables/table162.xml"/><Relationship Id="rId1" Type="http://schemas.openxmlformats.org/officeDocument/2006/relationships/table" Target="../tables/table161.xml"/><Relationship Id="rId4" Type="http://schemas.openxmlformats.org/officeDocument/2006/relationships/table" Target="../tables/table164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7.xml"/><Relationship Id="rId2" Type="http://schemas.openxmlformats.org/officeDocument/2006/relationships/table" Target="../tables/table166.xml"/><Relationship Id="rId1" Type="http://schemas.openxmlformats.org/officeDocument/2006/relationships/table" Target="../tables/table165.xml"/><Relationship Id="rId4" Type="http://schemas.openxmlformats.org/officeDocument/2006/relationships/table" Target="../tables/table168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2" Type="http://schemas.openxmlformats.org/officeDocument/2006/relationships/table" Target="../tables/table170.xml"/><Relationship Id="rId1" Type="http://schemas.openxmlformats.org/officeDocument/2006/relationships/table" Target="../tables/table169.xml"/><Relationship Id="rId4" Type="http://schemas.openxmlformats.org/officeDocument/2006/relationships/table" Target="../tables/table172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5.xml"/><Relationship Id="rId2" Type="http://schemas.openxmlformats.org/officeDocument/2006/relationships/table" Target="../tables/table174.xml"/><Relationship Id="rId1" Type="http://schemas.openxmlformats.org/officeDocument/2006/relationships/table" Target="../tables/table173.xml"/><Relationship Id="rId4" Type="http://schemas.openxmlformats.org/officeDocument/2006/relationships/table" Target="../tables/table176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9.xml"/><Relationship Id="rId2" Type="http://schemas.openxmlformats.org/officeDocument/2006/relationships/table" Target="../tables/table178.xml"/><Relationship Id="rId1" Type="http://schemas.openxmlformats.org/officeDocument/2006/relationships/table" Target="../tables/table177.xml"/><Relationship Id="rId4" Type="http://schemas.openxmlformats.org/officeDocument/2006/relationships/table" Target="../tables/table180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2" Type="http://schemas.openxmlformats.org/officeDocument/2006/relationships/table" Target="../tables/table182.xml"/><Relationship Id="rId1" Type="http://schemas.openxmlformats.org/officeDocument/2006/relationships/table" Target="../tables/table181.xml"/><Relationship Id="rId4" Type="http://schemas.openxmlformats.org/officeDocument/2006/relationships/table" Target="../tables/table184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7.xml"/><Relationship Id="rId2" Type="http://schemas.openxmlformats.org/officeDocument/2006/relationships/table" Target="../tables/table186.xml"/><Relationship Id="rId1" Type="http://schemas.openxmlformats.org/officeDocument/2006/relationships/table" Target="../tables/table185.xml"/><Relationship Id="rId4" Type="http://schemas.openxmlformats.org/officeDocument/2006/relationships/table" Target="../tables/table188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1.xml"/><Relationship Id="rId2" Type="http://schemas.openxmlformats.org/officeDocument/2006/relationships/table" Target="../tables/table190.xml"/><Relationship Id="rId1" Type="http://schemas.openxmlformats.org/officeDocument/2006/relationships/table" Target="../tables/table189.xml"/><Relationship Id="rId4" Type="http://schemas.openxmlformats.org/officeDocument/2006/relationships/table" Target="../tables/table192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5.xml"/><Relationship Id="rId2" Type="http://schemas.openxmlformats.org/officeDocument/2006/relationships/table" Target="../tables/table194.xml"/><Relationship Id="rId1" Type="http://schemas.openxmlformats.org/officeDocument/2006/relationships/table" Target="../tables/table193.xml"/><Relationship Id="rId4" Type="http://schemas.openxmlformats.org/officeDocument/2006/relationships/table" Target="../tables/table196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9.xml"/><Relationship Id="rId2" Type="http://schemas.openxmlformats.org/officeDocument/2006/relationships/table" Target="../tables/table198.xml"/><Relationship Id="rId1" Type="http://schemas.openxmlformats.org/officeDocument/2006/relationships/table" Target="../tables/table197.xml"/><Relationship Id="rId4" Type="http://schemas.openxmlformats.org/officeDocument/2006/relationships/table" Target="../tables/table200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3.xml"/><Relationship Id="rId2" Type="http://schemas.openxmlformats.org/officeDocument/2006/relationships/table" Target="../tables/table202.xml"/><Relationship Id="rId1" Type="http://schemas.openxmlformats.org/officeDocument/2006/relationships/table" Target="../tables/table201.xml"/><Relationship Id="rId4" Type="http://schemas.openxmlformats.org/officeDocument/2006/relationships/table" Target="../tables/table204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7.xml"/><Relationship Id="rId2" Type="http://schemas.openxmlformats.org/officeDocument/2006/relationships/table" Target="../tables/table206.xml"/><Relationship Id="rId1" Type="http://schemas.openxmlformats.org/officeDocument/2006/relationships/table" Target="../tables/table205.xml"/><Relationship Id="rId4" Type="http://schemas.openxmlformats.org/officeDocument/2006/relationships/table" Target="../tables/table208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1.xml"/><Relationship Id="rId2" Type="http://schemas.openxmlformats.org/officeDocument/2006/relationships/table" Target="../tables/table210.xml"/><Relationship Id="rId1" Type="http://schemas.openxmlformats.org/officeDocument/2006/relationships/table" Target="../tables/table209.xml"/><Relationship Id="rId4" Type="http://schemas.openxmlformats.org/officeDocument/2006/relationships/table" Target="../tables/table212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5.xml"/><Relationship Id="rId2" Type="http://schemas.openxmlformats.org/officeDocument/2006/relationships/table" Target="../tables/table214.xml"/><Relationship Id="rId1" Type="http://schemas.openxmlformats.org/officeDocument/2006/relationships/table" Target="../tables/table213.xml"/><Relationship Id="rId4" Type="http://schemas.openxmlformats.org/officeDocument/2006/relationships/table" Target="../tables/table216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9.xml"/><Relationship Id="rId2" Type="http://schemas.openxmlformats.org/officeDocument/2006/relationships/table" Target="../tables/table218.xml"/><Relationship Id="rId1" Type="http://schemas.openxmlformats.org/officeDocument/2006/relationships/table" Target="../tables/table217.xml"/><Relationship Id="rId4" Type="http://schemas.openxmlformats.org/officeDocument/2006/relationships/table" Target="../tables/table220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3.xml"/><Relationship Id="rId2" Type="http://schemas.openxmlformats.org/officeDocument/2006/relationships/table" Target="../tables/table222.xml"/><Relationship Id="rId1" Type="http://schemas.openxmlformats.org/officeDocument/2006/relationships/table" Target="../tables/table221.xml"/><Relationship Id="rId4" Type="http://schemas.openxmlformats.org/officeDocument/2006/relationships/table" Target="../tables/table224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7.xml"/><Relationship Id="rId2" Type="http://schemas.openxmlformats.org/officeDocument/2006/relationships/table" Target="../tables/table226.xml"/><Relationship Id="rId1" Type="http://schemas.openxmlformats.org/officeDocument/2006/relationships/table" Target="../tables/table225.xml"/><Relationship Id="rId4" Type="http://schemas.openxmlformats.org/officeDocument/2006/relationships/table" Target="../tables/table2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0"/>
  <sheetViews>
    <sheetView topLeftCell="A15" workbookViewId="0">
      <selection activeCell="C25" sqref="C25"/>
    </sheetView>
  </sheetViews>
  <sheetFormatPr defaultRowHeight="15"/>
  <cols>
    <col min="1" max="1" width="29.7109375" customWidth="1"/>
    <col min="2" max="2" width="15.140625" customWidth="1"/>
    <col min="3" max="3" width="14.85546875" customWidth="1"/>
    <col min="4" max="4" width="16" customWidth="1"/>
    <col min="5" max="5" width="18.42578125" customWidth="1"/>
    <col min="6" max="8" width="9.28515625" hidden="1" customWidth="1"/>
    <col min="9" max="9" width="20.7109375" customWidth="1"/>
  </cols>
  <sheetData>
    <row r="2" spans="1:9">
      <c r="A2" s="36" t="s">
        <v>0</v>
      </c>
      <c r="B2" s="36"/>
    </row>
    <row r="3" spans="1:9">
      <c r="A3" s="36"/>
      <c r="B3" s="36"/>
      <c r="C3" s="37" t="s">
        <v>1</v>
      </c>
      <c r="D3" s="37"/>
      <c r="E3" s="37"/>
    </row>
    <row r="5" spans="1:9">
      <c r="A5" s="4" t="s">
        <v>2</v>
      </c>
      <c r="B5" s="3" t="s">
        <v>3</v>
      </c>
      <c r="C5" s="4" t="s">
        <v>4</v>
      </c>
      <c r="D5" s="6" t="s">
        <v>5</v>
      </c>
      <c r="E5" s="8" t="s">
        <v>6</v>
      </c>
      <c r="F5" s="3"/>
      <c r="G5" s="3"/>
      <c r="H5" s="3"/>
      <c r="I5" s="7" t="s">
        <v>7</v>
      </c>
    </row>
    <row r="6" spans="1:9">
      <c r="A6" s="1">
        <f>10000+19000</f>
        <v>29000</v>
      </c>
      <c r="B6" s="1">
        <f>Tabela16[ENTRADA]*3/100</f>
        <v>870</v>
      </c>
      <c r="C6" s="1">
        <f>Tabela16[ENTRADA]*10/100</f>
        <v>2900</v>
      </c>
      <c r="D6" s="3">
        <f>Tabela16[ENTRADA]-(Tabela16[INSS 3%]+Tabela16[DIZIMO 10%])</f>
        <v>25230</v>
      </c>
      <c r="E6" s="8">
        <f>Tabela16[Renda 87%]-(B12+B21+B30)</f>
        <v>6280</v>
      </c>
      <c r="F6" s="3"/>
      <c r="G6" s="3"/>
      <c r="H6" s="3"/>
      <c r="I6" s="7">
        <f>SUM(B12,B21,B30)</f>
        <v>18950</v>
      </c>
    </row>
    <row r="7" spans="1:9">
      <c r="A7" s="39" t="s">
        <v>8</v>
      </c>
      <c r="B7" s="39"/>
      <c r="C7" s="39"/>
      <c r="D7" s="39"/>
      <c r="E7" s="39"/>
      <c r="F7" s="39"/>
      <c r="G7" s="39"/>
      <c r="H7" s="39"/>
      <c r="I7" s="1"/>
    </row>
    <row r="8" spans="1:9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</row>
    <row r="9" spans="1:9">
      <c r="A9" s="1" t="s">
        <v>11</v>
      </c>
      <c r="B9" s="1">
        <v>800</v>
      </c>
      <c r="C9" s="1"/>
      <c r="D9" s="1"/>
      <c r="E9" s="1"/>
      <c r="F9" s="1"/>
      <c r="G9" s="1"/>
      <c r="H9" s="1"/>
      <c r="I9" s="1"/>
    </row>
    <row r="10" spans="1:9">
      <c r="A10" s="1" t="s">
        <v>12</v>
      </c>
      <c r="B10" s="1">
        <v>1500</v>
      </c>
      <c r="C10" s="1"/>
      <c r="D10" s="1"/>
      <c r="E10" s="1"/>
      <c r="F10" s="1"/>
      <c r="G10" s="1"/>
      <c r="H10" s="1"/>
      <c r="I10" s="1"/>
    </row>
    <row r="11" spans="1:9">
      <c r="A11" s="1" t="s">
        <v>13</v>
      </c>
      <c r="B11" s="1">
        <v>1000</v>
      </c>
      <c r="C11" s="1"/>
      <c r="D11" s="1"/>
      <c r="E11" s="1"/>
      <c r="F11" s="1"/>
      <c r="G11" s="1"/>
      <c r="H11" s="1"/>
      <c r="I11" s="1"/>
    </row>
    <row r="12" spans="1:9">
      <c r="A12" s="2" t="s">
        <v>14</v>
      </c>
      <c r="B12" s="2">
        <f>SUM(B9:B11)</f>
        <v>3300</v>
      </c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</row>
    <row r="15" spans="1:9">
      <c r="A15" s="1" t="s">
        <v>16</v>
      </c>
      <c r="B15" s="1">
        <v>4000</v>
      </c>
      <c r="C15" s="1"/>
      <c r="D15" s="1"/>
      <c r="E15" s="1"/>
      <c r="F15" s="1"/>
      <c r="G15" s="1"/>
      <c r="H15" s="1"/>
      <c r="I15" s="1"/>
    </row>
    <row r="16" spans="1:9">
      <c r="A16" s="1" t="s">
        <v>17</v>
      </c>
      <c r="B16" s="1">
        <v>600</v>
      </c>
      <c r="C16" s="1"/>
      <c r="D16" s="1"/>
      <c r="E16" s="1"/>
      <c r="F16" s="1"/>
      <c r="G16" s="1"/>
      <c r="H16" s="1"/>
      <c r="I16" s="1"/>
    </row>
    <row r="17" spans="1:9">
      <c r="A17" s="1" t="s">
        <v>18</v>
      </c>
      <c r="B17" s="1">
        <v>850</v>
      </c>
      <c r="C17" s="1"/>
      <c r="D17" s="1"/>
      <c r="E17" s="1"/>
      <c r="F17" s="1"/>
      <c r="G17" s="1"/>
      <c r="H17" s="1"/>
      <c r="I17" s="1"/>
    </row>
    <row r="18" spans="1:9">
      <c r="A18" s="1" t="s">
        <v>19</v>
      </c>
      <c r="B18" s="1">
        <v>200</v>
      </c>
      <c r="C18" s="1"/>
      <c r="D18" s="1"/>
      <c r="E18" s="1"/>
      <c r="F18" s="1"/>
      <c r="G18" s="1"/>
      <c r="H18" s="1"/>
      <c r="I18" s="1"/>
    </row>
    <row r="19" spans="1:9">
      <c r="A19" s="1" t="s">
        <v>20</v>
      </c>
      <c r="B19" s="1">
        <v>2000</v>
      </c>
      <c r="C19" s="1"/>
      <c r="D19" s="1"/>
      <c r="E19" s="1"/>
      <c r="F19" s="1"/>
      <c r="G19" s="1"/>
      <c r="H19" s="1"/>
      <c r="I19" s="1"/>
    </row>
    <row r="20" spans="1:9">
      <c r="A20" s="1" t="s">
        <v>21</v>
      </c>
      <c r="B20" s="1">
        <v>1500</v>
      </c>
      <c r="C20" s="1"/>
      <c r="D20" s="1"/>
      <c r="E20" s="1"/>
      <c r="F20" s="1"/>
      <c r="G20" s="1"/>
      <c r="H20" s="1"/>
      <c r="I20" s="1"/>
    </row>
    <row r="21" spans="1:9">
      <c r="A21" s="2" t="s">
        <v>14</v>
      </c>
      <c r="B21" s="2">
        <f>SUM(B15:B20)</f>
        <v>9150</v>
      </c>
      <c r="C21" s="1"/>
      <c r="D21" s="1"/>
      <c r="E21" s="1"/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5" t="s">
        <v>22</v>
      </c>
      <c r="B23" s="6" t="s">
        <v>10</v>
      </c>
      <c r="C23" s="1"/>
      <c r="D23" s="1"/>
      <c r="E23" s="1"/>
      <c r="F23" s="1"/>
      <c r="G23" s="1"/>
      <c r="H23" s="1"/>
      <c r="I23" s="1"/>
    </row>
    <row r="24" spans="1:9">
      <c r="A24" s="1" t="s">
        <v>23</v>
      </c>
      <c r="B24" s="1">
        <v>2000</v>
      </c>
      <c r="C24" s="1"/>
      <c r="D24" s="1"/>
      <c r="E24" s="1"/>
      <c r="F24" s="1"/>
      <c r="G24" s="1"/>
      <c r="H24" s="1"/>
      <c r="I24" s="1"/>
    </row>
    <row r="25" spans="1:9">
      <c r="A25" s="1" t="s">
        <v>24</v>
      </c>
      <c r="B25" s="1">
        <v>500</v>
      </c>
      <c r="C25" s="1"/>
      <c r="D25" s="1"/>
      <c r="E25" s="1"/>
      <c r="F25" s="1"/>
      <c r="G25" s="1"/>
      <c r="H25" s="1"/>
      <c r="I25" s="1"/>
    </row>
    <row r="26" spans="1:9">
      <c r="A26" s="1" t="s">
        <v>25</v>
      </c>
      <c r="B26" s="1">
        <v>500</v>
      </c>
      <c r="C26" s="1"/>
      <c r="D26" s="1"/>
      <c r="E26" s="1"/>
      <c r="F26" s="1"/>
      <c r="G26" s="1"/>
      <c r="H26" s="1"/>
      <c r="I26" s="1"/>
    </row>
    <row r="27" spans="1:9">
      <c r="A27" s="1" t="s">
        <v>26</v>
      </c>
      <c r="B27" s="1">
        <v>2000</v>
      </c>
      <c r="C27" s="1"/>
      <c r="D27" s="1"/>
      <c r="E27" s="1"/>
      <c r="F27" s="1"/>
      <c r="G27" s="1"/>
      <c r="H27" s="1"/>
      <c r="I27" s="1"/>
    </row>
    <row r="28" spans="1:9">
      <c r="A28" s="1" t="s">
        <v>27</v>
      </c>
      <c r="B28" s="1">
        <v>1000</v>
      </c>
      <c r="C28" s="1"/>
      <c r="D28" s="1"/>
      <c r="E28" s="1"/>
      <c r="F28" s="1"/>
      <c r="G28" s="1"/>
      <c r="H28" s="1"/>
      <c r="I28" s="1"/>
    </row>
    <row r="29" spans="1:9">
      <c r="A29" s="1" t="s">
        <v>28</v>
      </c>
      <c r="B29" s="1">
        <v>500</v>
      </c>
      <c r="C29" s="1"/>
      <c r="D29" s="1"/>
      <c r="E29" s="1"/>
      <c r="F29" s="1"/>
      <c r="G29" s="1"/>
      <c r="H29" s="1"/>
      <c r="I29" s="1"/>
    </row>
    <row r="30" spans="1:9">
      <c r="A30" s="2" t="s">
        <v>14</v>
      </c>
      <c r="B30" s="2">
        <f>SUM(B24:B29)</f>
        <v>6500</v>
      </c>
      <c r="C30" s="1"/>
      <c r="D30" s="1"/>
      <c r="E30" s="1"/>
      <c r="F30" s="1"/>
      <c r="G30" s="1"/>
      <c r="H30" s="1"/>
      <c r="I30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0"/>
  <sheetViews>
    <sheetView topLeftCell="A10" workbookViewId="0">
      <selection activeCell="L21" sqref="L21"/>
    </sheetView>
  </sheetViews>
  <sheetFormatPr defaultRowHeight="15"/>
  <cols>
    <col min="1" max="1" width="29.7109375" customWidth="1"/>
    <col min="2" max="2" width="15.140625" customWidth="1"/>
    <col min="3" max="3" width="14.85546875" customWidth="1"/>
    <col min="4" max="4" width="16" customWidth="1"/>
    <col min="5" max="5" width="18.42578125" customWidth="1"/>
    <col min="6" max="8" width="9.28515625" hidden="1" customWidth="1"/>
    <col min="9" max="9" width="20.7109375" customWidth="1"/>
    <col min="10" max="10" width="14.5703125" customWidth="1"/>
  </cols>
  <sheetData>
    <row r="2" spans="1:10">
      <c r="A2" s="36" t="s">
        <v>29</v>
      </c>
      <c r="B2" s="36"/>
    </row>
    <row r="3" spans="1:10">
      <c r="A3" s="36"/>
      <c r="B3" s="36"/>
      <c r="C3" s="37" t="s">
        <v>1</v>
      </c>
      <c r="D3" s="37"/>
      <c r="E3" s="37"/>
    </row>
    <row r="5" spans="1:10">
      <c r="A5" s="4" t="s">
        <v>2</v>
      </c>
      <c r="B5" s="3" t="s">
        <v>3</v>
      </c>
      <c r="C5" s="4" t="s">
        <v>4</v>
      </c>
      <c r="D5" s="6" t="s">
        <v>5</v>
      </c>
      <c r="E5" s="8" t="s">
        <v>6</v>
      </c>
      <c r="F5" s="3"/>
      <c r="G5" s="3"/>
      <c r="H5" s="3"/>
      <c r="I5" s="7" t="s">
        <v>7</v>
      </c>
      <c r="J5" s="9" t="s">
        <v>30</v>
      </c>
    </row>
    <row r="6" spans="1:10">
      <c r="A6" s="1">
        <f>14000+21000</f>
        <v>35000</v>
      </c>
      <c r="B6" s="1">
        <f>Tabela1[ENTRADA]*3/100</f>
        <v>1050</v>
      </c>
      <c r="C6" s="1">
        <f>Tabela1[ENTRADA]*10/100</f>
        <v>3500</v>
      </c>
      <c r="D6" s="3">
        <f>Tabela1[ENTRADA]-(Tabela1[INSS 3%]+Tabela1[DIZIMO 10%])</f>
        <v>30450</v>
      </c>
      <c r="E6" s="8">
        <f>Tabela1[Renda 87%]-(B12+B21+B30)</f>
        <v>1117</v>
      </c>
      <c r="F6" s="3"/>
      <c r="G6" s="3"/>
      <c r="H6" s="3"/>
      <c r="I6" s="7">
        <f>SUM(B12,B21,B30)</f>
        <v>29333</v>
      </c>
      <c r="J6" s="9">
        <f>Tabela1[Sando Final]+I6</f>
        <v>30450</v>
      </c>
    </row>
    <row r="7" spans="1:10">
      <c r="A7" s="39" t="s">
        <v>8</v>
      </c>
      <c r="B7" s="39"/>
      <c r="C7" s="39"/>
      <c r="D7" s="39"/>
      <c r="E7" s="39"/>
      <c r="F7" s="39"/>
      <c r="G7" s="39"/>
      <c r="H7" s="39"/>
      <c r="I7" s="1"/>
      <c r="J7" s="1"/>
    </row>
    <row r="8" spans="1:10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</row>
    <row r="9" spans="1:10">
      <c r="A9" s="1" t="s">
        <v>11</v>
      </c>
      <c r="B9" s="1">
        <v>300</v>
      </c>
      <c r="C9" s="1"/>
      <c r="D9" s="1"/>
      <c r="E9" s="1"/>
      <c r="F9" s="1"/>
      <c r="G9" s="1"/>
      <c r="H9" s="1"/>
      <c r="I9" s="1"/>
      <c r="J9" s="1"/>
    </row>
    <row r="10" spans="1:10">
      <c r="A10" s="1" t="s">
        <v>31</v>
      </c>
      <c r="B10" s="1">
        <v>3533</v>
      </c>
      <c r="C10" s="1"/>
      <c r="D10" s="1"/>
      <c r="E10" s="1"/>
      <c r="F10" s="1"/>
      <c r="G10" s="1"/>
      <c r="H10" s="1"/>
      <c r="I10" s="1"/>
      <c r="J10" s="1"/>
    </row>
    <row r="11" spans="1:10">
      <c r="A11" s="1" t="s">
        <v>13</v>
      </c>
      <c r="B11" s="1">
        <v>1500</v>
      </c>
      <c r="C11" s="1"/>
      <c r="D11" s="1"/>
      <c r="E11" s="1"/>
      <c r="F11" s="1"/>
      <c r="G11" s="1"/>
      <c r="H11" s="1"/>
      <c r="I11" s="1"/>
      <c r="J11" s="1"/>
    </row>
    <row r="12" spans="1:10">
      <c r="A12" s="2" t="s">
        <v>14</v>
      </c>
      <c r="B12" s="2">
        <f>SUM(B9:B11)</f>
        <v>5333</v>
      </c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0">
      <c r="A15" s="1" t="s">
        <v>16</v>
      </c>
      <c r="B15" s="1">
        <v>2000</v>
      </c>
      <c r="C15" s="1"/>
      <c r="D15" s="1"/>
      <c r="E15" s="1"/>
      <c r="F15" s="1"/>
      <c r="G15" s="1"/>
      <c r="H15" s="1"/>
      <c r="I15" s="1"/>
      <c r="J15" s="1"/>
    </row>
    <row r="16" spans="1:10">
      <c r="A16" s="1" t="s">
        <v>17</v>
      </c>
      <c r="B16" s="1">
        <v>350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32</v>
      </c>
      <c r="B17" s="1">
        <v>550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">
        <v>200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33</v>
      </c>
      <c r="B19" s="1">
        <v>10000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21</v>
      </c>
      <c r="B20" s="1">
        <v>1000</v>
      </c>
      <c r="C20" s="1"/>
      <c r="D20" s="1"/>
      <c r="E20" s="1"/>
      <c r="F20" s="1"/>
      <c r="G20" s="1"/>
      <c r="H20" s="1"/>
      <c r="I20" s="1"/>
      <c r="J20" s="1"/>
    </row>
    <row r="21" spans="1:10">
      <c r="A21" s="2" t="s">
        <v>14</v>
      </c>
      <c r="B21" s="2">
        <f>SUM(B15:B20)</f>
        <v>14100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5" t="s">
        <v>22</v>
      </c>
      <c r="B23" s="6" t="s">
        <v>10</v>
      </c>
      <c r="C23" s="1"/>
      <c r="D23" s="1"/>
      <c r="E23" s="1"/>
      <c r="F23" s="1"/>
      <c r="G23" s="1"/>
      <c r="H23" s="1"/>
      <c r="I23" s="1"/>
      <c r="J23" s="1"/>
    </row>
    <row r="24" spans="1:10">
      <c r="A24" s="1" t="s">
        <v>23</v>
      </c>
      <c r="B24" s="1">
        <v>2000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 t="s">
        <v>24</v>
      </c>
      <c r="B25" s="1">
        <v>500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 t="s">
        <v>25</v>
      </c>
      <c r="B26" s="1">
        <v>500</v>
      </c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26</v>
      </c>
      <c r="B27" s="1">
        <v>2500</v>
      </c>
      <c r="C27" s="1"/>
      <c r="D27" s="1"/>
      <c r="E27" s="1"/>
      <c r="F27" s="1"/>
      <c r="G27" s="1"/>
      <c r="H27" s="1"/>
      <c r="I27" s="1"/>
      <c r="J27" s="1"/>
    </row>
    <row r="28" spans="1:10">
      <c r="A28" s="1" t="s">
        <v>27</v>
      </c>
      <c r="B28" s="1">
        <v>400</v>
      </c>
      <c r="C28" s="1"/>
      <c r="D28" s="1"/>
      <c r="E28" s="1"/>
      <c r="F28" s="1"/>
      <c r="G28" s="1"/>
      <c r="H28" s="1"/>
      <c r="I28" s="1"/>
      <c r="J28" s="1"/>
    </row>
    <row r="29" spans="1:10">
      <c r="A29" s="1" t="s">
        <v>34</v>
      </c>
      <c r="B29" s="1">
        <v>4000</v>
      </c>
      <c r="C29" s="1"/>
      <c r="D29" s="1"/>
      <c r="E29" s="1"/>
      <c r="F29" s="1"/>
      <c r="G29" s="1"/>
      <c r="H29" s="1"/>
      <c r="I29" s="1"/>
      <c r="J29" s="1"/>
    </row>
    <row r="30" spans="1:10">
      <c r="A30" s="2" t="s">
        <v>14</v>
      </c>
      <c r="B30" s="2">
        <f>SUM(B24:B29)</f>
        <v>9900</v>
      </c>
      <c r="C30" s="1"/>
      <c r="D30" s="1"/>
      <c r="E30" s="1"/>
      <c r="F30" s="1"/>
      <c r="G30" s="1"/>
      <c r="H30" s="1"/>
      <c r="I30" s="1"/>
      <c r="J30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30"/>
  <sheetViews>
    <sheetView workbookViewId="0">
      <selection activeCell="A2" sqref="A2:B3"/>
    </sheetView>
  </sheetViews>
  <sheetFormatPr defaultRowHeight="15"/>
  <cols>
    <col min="1" max="1" width="29.7109375" customWidth="1"/>
    <col min="2" max="2" width="15.140625" customWidth="1"/>
    <col min="3" max="3" width="14.85546875" customWidth="1"/>
    <col min="4" max="4" width="16" customWidth="1"/>
    <col min="5" max="5" width="18.42578125" customWidth="1"/>
    <col min="6" max="8" width="9.28515625" hidden="1" customWidth="1"/>
    <col min="9" max="9" width="20.7109375" customWidth="1"/>
    <col min="10" max="10" width="14.5703125" customWidth="1"/>
  </cols>
  <sheetData>
    <row r="2" spans="1:10">
      <c r="A2" s="36" t="s">
        <v>35</v>
      </c>
      <c r="B2" s="36"/>
    </row>
    <row r="3" spans="1:10">
      <c r="A3" s="36"/>
      <c r="B3" s="36"/>
      <c r="C3" s="37" t="s">
        <v>1</v>
      </c>
      <c r="D3" s="37"/>
      <c r="E3" s="37"/>
    </row>
    <row r="5" spans="1:10">
      <c r="A5" s="4" t="s">
        <v>2</v>
      </c>
      <c r="B5" s="3" t="s">
        <v>3</v>
      </c>
      <c r="C5" s="4" t="s">
        <v>4</v>
      </c>
      <c r="D5" s="6" t="s">
        <v>5</v>
      </c>
      <c r="E5" s="8" t="s">
        <v>6</v>
      </c>
      <c r="F5" s="3"/>
      <c r="G5" s="3"/>
      <c r="H5" s="3"/>
      <c r="I5" s="7" t="s">
        <v>7</v>
      </c>
      <c r="J5" s="9" t="s">
        <v>30</v>
      </c>
    </row>
    <row r="6" spans="1:10">
      <c r="A6" s="1">
        <f>14000+21000</f>
        <v>35000</v>
      </c>
      <c r="B6" s="1">
        <f>Tabela110[ENTRADA]*3/100</f>
        <v>1050</v>
      </c>
      <c r="C6" s="1">
        <f>Tabela110[ENTRADA]*10/100</f>
        <v>3500</v>
      </c>
      <c r="D6" s="3">
        <f>Tabela110[ENTRADA]-(Tabela110[INSS 3%]+Tabela110[DIZIMO 10%])</f>
        <v>30450</v>
      </c>
      <c r="E6" s="8">
        <f>Tabela110[Renda 87%]-(B12+B21+B30)</f>
        <v>1117</v>
      </c>
      <c r="F6" s="3"/>
      <c r="G6" s="3"/>
      <c r="H6" s="3"/>
      <c r="I6" s="7">
        <f>SUM(B12,B21,B30)</f>
        <v>29333</v>
      </c>
      <c r="J6" s="9">
        <f>Tabela110[Sando Final]+I6</f>
        <v>30450</v>
      </c>
    </row>
    <row r="7" spans="1:10">
      <c r="A7" s="39" t="s">
        <v>8</v>
      </c>
      <c r="B7" s="39"/>
      <c r="C7" s="39"/>
      <c r="D7" s="39"/>
      <c r="E7" s="39"/>
      <c r="F7" s="39"/>
      <c r="G7" s="39"/>
      <c r="H7" s="39"/>
      <c r="I7" s="1"/>
      <c r="J7" s="1"/>
    </row>
    <row r="8" spans="1:10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</row>
    <row r="9" spans="1:10">
      <c r="A9" s="1" t="s">
        <v>11</v>
      </c>
      <c r="B9" s="1">
        <v>300</v>
      </c>
      <c r="C9" s="1"/>
      <c r="D9" s="1"/>
      <c r="E9" s="1"/>
      <c r="F9" s="1"/>
      <c r="G9" s="1"/>
      <c r="H9" s="1"/>
      <c r="I9" s="1"/>
      <c r="J9" s="1"/>
    </row>
    <row r="10" spans="1:10">
      <c r="A10" s="1" t="s">
        <v>31</v>
      </c>
      <c r="B10" s="1">
        <v>3533</v>
      </c>
      <c r="C10" s="1"/>
      <c r="D10" s="1"/>
      <c r="E10" s="1"/>
      <c r="F10" s="1"/>
      <c r="G10" s="1"/>
      <c r="H10" s="1"/>
      <c r="I10" s="1"/>
      <c r="J10" s="1"/>
    </row>
    <row r="11" spans="1:10">
      <c r="A11" s="1" t="s">
        <v>13</v>
      </c>
      <c r="B11" s="1">
        <v>1500</v>
      </c>
      <c r="C11" s="1"/>
      <c r="D11" s="1"/>
      <c r="E11" s="1"/>
      <c r="F11" s="1"/>
      <c r="G11" s="1"/>
      <c r="H11" s="1"/>
      <c r="I11" s="1"/>
      <c r="J11" s="1"/>
    </row>
    <row r="12" spans="1:10">
      <c r="A12" s="2" t="s">
        <v>14</v>
      </c>
      <c r="B12" s="2">
        <f>SUM(B9:B11)</f>
        <v>5333</v>
      </c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0">
      <c r="A15" s="1" t="s">
        <v>16</v>
      </c>
      <c r="B15" s="1">
        <v>2000</v>
      </c>
      <c r="C15" s="1"/>
      <c r="D15" s="1"/>
      <c r="E15" s="1"/>
      <c r="F15" s="1"/>
      <c r="G15" s="1"/>
      <c r="H15" s="1"/>
      <c r="I15" s="1"/>
      <c r="J15" s="1"/>
    </row>
    <row r="16" spans="1:10">
      <c r="A16" s="1" t="s">
        <v>17</v>
      </c>
      <c r="B16" s="1">
        <v>350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32</v>
      </c>
      <c r="B17" s="1">
        <v>550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">
        <v>200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33</v>
      </c>
      <c r="B19" s="1">
        <v>10000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21</v>
      </c>
      <c r="B20" s="1">
        <v>1000</v>
      </c>
      <c r="C20" s="1"/>
      <c r="D20" s="1"/>
      <c r="E20" s="1"/>
      <c r="F20" s="1"/>
      <c r="G20" s="1"/>
      <c r="H20" s="1"/>
      <c r="I20" s="1"/>
      <c r="J20" s="1"/>
    </row>
    <row r="21" spans="1:10">
      <c r="A21" s="2" t="s">
        <v>14</v>
      </c>
      <c r="B21" s="2">
        <f>SUM(B15:B20)</f>
        <v>14100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5" t="s">
        <v>22</v>
      </c>
      <c r="B23" s="6" t="s">
        <v>10</v>
      </c>
      <c r="C23" s="1"/>
      <c r="D23" s="1"/>
      <c r="E23" s="1"/>
      <c r="F23" s="1"/>
      <c r="G23" s="1"/>
      <c r="H23" s="1"/>
      <c r="I23" s="1"/>
      <c r="J23" s="1"/>
    </row>
    <row r="24" spans="1:10">
      <c r="A24" s="1" t="s">
        <v>23</v>
      </c>
      <c r="B24" s="1">
        <v>2000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 t="s">
        <v>24</v>
      </c>
      <c r="B25" s="1">
        <v>500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 t="s">
        <v>25</v>
      </c>
      <c r="B26" s="1">
        <v>500</v>
      </c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26</v>
      </c>
      <c r="B27" s="1">
        <v>2500</v>
      </c>
      <c r="C27" s="1"/>
      <c r="D27" s="1"/>
      <c r="E27" s="1"/>
      <c r="F27" s="1"/>
      <c r="G27" s="1"/>
      <c r="H27" s="1"/>
      <c r="I27" s="1"/>
      <c r="J27" s="1"/>
    </row>
    <row r="28" spans="1:10">
      <c r="A28" s="1" t="s">
        <v>27</v>
      </c>
      <c r="B28" s="1">
        <v>400</v>
      </c>
      <c r="C28" s="1"/>
      <c r="D28" s="1"/>
      <c r="E28" s="1"/>
      <c r="F28" s="1"/>
      <c r="G28" s="1"/>
      <c r="H28" s="1"/>
      <c r="I28" s="1"/>
      <c r="J28" s="1"/>
    </row>
    <row r="29" spans="1:10">
      <c r="A29" s="1" t="s">
        <v>34</v>
      </c>
      <c r="B29" s="1">
        <v>4000</v>
      </c>
      <c r="C29" s="1"/>
      <c r="D29" s="1"/>
      <c r="E29" s="1"/>
      <c r="F29" s="1"/>
      <c r="G29" s="1"/>
      <c r="H29" s="1"/>
      <c r="I29" s="1"/>
      <c r="J29" s="1"/>
    </row>
    <row r="30" spans="1:10">
      <c r="A30" s="2" t="s">
        <v>14</v>
      </c>
      <c r="B30" s="2">
        <f>SUM(B24:B29)</f>
        <v>9900</v>
      </c>
      <c r="C30" s="1"/>
      <c r="D30" s="1"/>
      <c r="E30" s="1"/>
      <c r="F30" s="1"/>
      <c r="G30" s="1"/>
      <c r="H30" s="1"/>
      <c r="I30" s="1"/>
      <c r="J30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workbookViewId="0">
      <selection activeCell="B9" sqref="B9"/>
    </sheetView>
  </sheetViews>
  <sheetFormatPr defaultRowHeight="15"/>
  <cols>
    <col min="1" max="1" width="29.7109375" customWidth="1"/>
    <col min="2" max="2" width="15.140625" customWidth="1"/>
    <col min="3" max="3" width="14.85546875" customWidth="1"/>
    <col min="4" max="4" width="16" customWidth="1"/>
    <col min="5" max="5" width="18.42578125" customWidth="1"/>
    <col min="6" max="8" width="9.28515625" hidden="1" customWidth="1"/>
    <col min="9" max="9" width="20.7109375" customWidth="1"/>
    <col min="10" max="10" width="14.5703125" customWidth="1"/>
  </cols>
  <sheetData>
    <row r="1" spans="1:10">
      <c r="B1" t="s">
        <v>36</v>
      </c>
    </row>
    <row r="2" spans="1:10">
      <c r="A2" s="36" t="s">
        <v>37</v>
      </c>
      <c r="B2" s="36"/>
    </row>
    <row r="3" spans="1:10">
      <c r="A3" s="36"/>
      <c r="B3" s="36"/>
      <c r="C3" s="37" t="s">
        <v>1</v>
      </c>
      <c r="D3" s="37"/>
      <c r="E3" s="37"/>
    </row>
    <row r="5" spans="1:10">
      <c r="A5" s="4" t="s">
        <v>2</v>
      </c>
      <c r="B5" s="3" t="s">
        <v>3</v>
      </c>
      <c r="C5" s="4" t="s">
        <v>4</v>
      </c>
      <c r="D5" s="6" t="s">
        <v>5</v>
      </c>
      <c r="E5" s="8" t="s">
        <v>6</v>
      </c>
      <c r="F5" s="3"/>
      <c r="G5" s="3"/>
      <c r="H5" s="3"/>
      <c r="I5" s="7" t="s">
        <v>7</v>
      </c>
      <c r="J5" s="9" t="s">
        <v>30</v>
      </c>
    </row>
    <row r="6" spans="1:10">
      <c r="A6" s="1">
        <f>14000+21000</f>
        <v>35000</v>
      </c>
      <c r="B6" s="1">
        <f>Tabela11014[ENTRADA]*3/100</f>
        <v>1050</v>
      </c>
      <c r="C6" s="1">
        <f>Tabela11014[ENTRADA]*10/100</f>
        <v>3500</v>
      </c>
      <c r="D6" s="3">
        <f>Tabela11014[ENTRADA]-(Tabela11014[INSS 3%]+Tabela11014[DIZIMO 10%])</f>
        <v>30450</v>
      </c>
      <c r="E6" s="8">
        <f>Tabela11014[Renda 87%]-(B12+B21+B29)</f>
        <v>3800</v>
      </c>
      <c r="F6" s="3"/>
      <c r="G6" s="3"/>
      <c r="H6" s="3"/>
      <c r="I6" s="7">
        <f>SUM(B12,B21,B29)</f>
        <v>26650</v>
      </c>
      <c r="J6" s="9">
        <f>Tabela11014[Sando Final]+I6</f>
        <v>30450</v>
      </c>
    </row>
    <row r="7" spans="1:10">
      <c r="A7" s="39" t="s">
        <v>8</v>
      </c>
      <c r="B7" s="39"/>
      <c r="C7" s="39"/>
      <c r="D7" s="39"/>
      <c r="E7" s="39"/>
      <c r="F7" s="39"/>
      <c r="G7" s="39"/>
      <c r="H7" s="39"/>
      <c r="I7" s="1"/>
      <c r="J7" s="1"/>
    </row>
    <row r="8" spans="1:10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</row>
    <row r="9" spans="1:10">
      <c r="A9" s="1" t="s">
        <v>11</v>
      </c>
      <c r="B9" s="10">
        <v>700</v>
      </c>
      <c r="C9" s="1"/>
      <c r="D9" s="1"/>
      <c r="E9" s="1"/>
      <c r="F9" s="1"/>
      <c r="G9" s="1"/>
      <c r="H9" s="1"/>
      <c r="I9" s="1"/>
      <c r="J9" s="1"/>
    </row>
    <row r="10" spans="1:10">
      <c r="A10" s="1" t="s">
        <v>38</v>
      </c>
      <c r="B10" s="10">
        <v>3100</v>
      </c>
      <c r="C10" s="1"/>
      <c r="D10" s="1"/>
      <c r="E10" s="1"/>
      <c r="F10" s="1"/>
      <c r="G10" s="1"/>
      <c r="H10" s="1"/>
      <c r="I10" s="1"/>
      <c r="J10" s="1"/>
    </row>
    <row r="11" spans="1:10">
      <c r="A11" s="1" t="s">
        <v>13</v>
      </c>
      <c r="B11" s="10">
        <v>2000</v>
      </c>
      <c r="C11" s="1"/>
      <c r="D11" s="1"/>
      <c r="E11" s="1"/>
      <c r="F11" s="1"/>
      <c r="G11" s="1"/>
      <c r="H11" s="1"/>
      <c r="I11" s="1"/>
      <c r="J11" s="1"/>
    </row>
    <row r="12" spans="1:10">
      <c r="A12" s="2" t="s">
        <v>14</v>
      </c>
      <c r="B12" s="2">
        <f>SUM(B9:B11)</f>
        <v>5800</v>
      </c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0">
      <c r="A15" s="1" t="s">
        <v>16</v>
      </c>
      <c r="B15" s="1">
        <v>3000</v>
      </c>
      <c r="C15" s="1"/>
      <c r="D15" s="1"/>
      <c r="E15" s="1"/>
      <c r="F15" s="1"/>
      <c r="G15" s="1"/>
      <c r="H15" s="1"/>
      <c r="I15" s="1"/>
      <c r="J15" s="1"/>
    </row>
    <row r="16" spans="1:10">
      <c r="A16" s="1" t="s">
        <v>17</v>
      </c>
      <c r="B16" s="10">
        <v>1000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32</v>
      </c>
      <c r="B17" s="10">
        <v>850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0">
        <v>500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39</v>
      </c>
      <c r="B19" s="10">
        <v>5000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21</v>
      </c>
      <c r="B20" s="1">
        <v>1000</v>
      </c>
      <c r="C20" s="1"/>
      <c r="D20" s="1"/>
      <c r="E20" s="1"/>
      <c r="F20" s="1"/>
      <c r="G20" s="1"/>
      <c r="H20" s="1"/>
      <c r="I20" s="1"/>
      <c r="J20" s="1"/>
    </row>
    <row r="21" spans="1:10">
      <c r="A21" s="2" t="s">
        <v>14</v>
      </c>
      <c r="B21" s="2">
        <f>SUM(B15:B20)</f>
        <v>11350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5" t="s">
        <v>22</v>
      </c>
      <c r="B23" s="6" t="s">
        <v>10</v>
      </c>
      <c r="C23" s="1"/>
      <c r="D23" s="1"/>
      <c r="E23" s="1"/>
      <c r="F23" s="1"/>
      <c r="G23" s="1"/>
      <c r="H23" s="1"/>
      <c r="I23" s="1"/>
      <c r="J23" s="1"/>
    </row>
    <row r="24" spans="1:10">
      <c r="A24" s="1" t="s">
        <v>23</v>
      </c>
      <c r="B24" s="10">
        <v>2000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 t="s">
        <v>24</v>
      </c>
      <c r="B25" s="10">
        <v>500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 t="s">
        <v>25</v>
      </c>
      <c r="B26" s="10">
        <v>1500</v>
      </c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26</v>
      </c>
      <c r="B27" s="1">
        <v>5000</v>
      </c>
      <c r="C27" s="1"/>
      <c r="D27" s="1"/>
      <c r="E27" s="1"/>
      <c r="F27" s="1"/>
      <c r="G27" s="1"/>
      <c r="H27" s="1"/>
      <c r="I27" s="1"/>
      <c r="J27" s="1"/>
    </row>
    <row r="28" spans="1:10">
      <c r="A28" s="1" t="s">
        <v>27</v>
      </c>
      <c r="B28" s="10">
        <v>500</v>
      </c>
      <c r="C28" s="1"/>
      <c r="D28" s="1"/>
      <c r="E28" s="1"/>
      <c r="F28" s="1"/>
      <c r="G28" s="1"/>
      <c r="H28" s="1"/>
      <c r="I28" s="1"/>
      <c r="J28" s="1"/>
    </row>
    <row r="29" spans="1:10">
      <c r="A29" s="2" t="s">
        <v>14</v>
      </c>
      <c r="B29" s="2">
        <f>SUM(B24:B28)</f>
        <v>9500</v>
      </c>
      <c r="C29" s="1"/>
      <c r="D29" s="1"/>
      <c r="E29" s="1"/>
      <c r="F29" s="1"/>
      <c r="G29" s="1"/>
      <c r="H29" s="1"/>
      <c r="I29" s="1"/>
      <c r="J29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workbookViewId="0">
      <selection activeCell="B20" sqref="B20"/>
    </sheetView>
  </sheetViews>
  <sheetFormatPr defaultRowHeight="15"/>
  <cols>
    <col min="1" max="1" width="29.7109375" customWidth="1"/>
    <col min="2" max="2" width="15.140625" customWidth="1"/>
    <col min="3" max="3" width="14.85546875" customWidth="1"/>
    <col min="4" max="4" width="16" customWidth="1"/>
    <col min="5" max="5" width="18.42578125" customWidth="1"/>
    <col min="6" max="8" width="9.28515625" hidden="1" customWidth="1"/>
    <col min="9" max="9" width="20.7109375" customWidth="1"/>
    <col min="10" max="10" width="14.5703125" customWidth="1"/>
  </cols>
  <sheetData>
    <row r="1" spans="1:10">
      <c r="B1" t="s">
        <v>36</v>
      </c>
    </row>
    <row r="2" spans="1:10">
      <c r="A2" s="36" t="s">
        <v>40</v>
      </c>
      <c r="B2" s="36"/>
    </row>
    <row r="3" spans="1:10">
      <c r="A3" s="36"/>
      <c r="B3" s="36"/>
      <c r="C3" s="37" t="s">
        <v>1</v>
      </c>
      <c r="D3" s="37"/>
      <c r="E3" s="37"/>
    </row>
    <row r="5" spans="1:10">
      <c r="A5" s="4" t="s">
        <v>2</v>
      </c>
      <c r="B5" s="3" t="s">
        <v>3</v>
      </c>
      <c r="C5" s="4" t="s">
        <v>4</v>
      </c>
      <c r="D5" s="6" t="s">
        <v>5</v>
      </c>
      <c r="E5" s="8" t="s">
        <v>6</v>
      </c>
      <c r="F5" s="3"/>
      <c r="G5" s="3"/>
      <c r="H5" s="3"/>
      <c r="I5" s="7" t="s">
        <v>7</v>
      </c>
      <c r="J5" s="9" t="s">
        <v>30</v>
      </c>
    </row>
    <row r="6" spans="1:10">
      <c r="A6" s="1">
        <f>14000+21000</f>
        <v>35000</v>
      </c>
      <c r="B6" s="1">
        <f>Tabela1101418[ENTRADA]*3/100</f>
        <v>1050</v>
      </c>
      <c r="C6" s="1">
        <f>Tabela1101418[ENTRADA]*10/100</f>
        <v>3500</v>
      </c>
      <c r="D6" s="3">
        <f>Tabela1101418[ENTRADA]-(Tabela1101418[INSS 3%]+Tabela1101418[DIZIMO 10%])</f>
        <v>30450</v>
      </c>
      <c r="E6" s="8">
        <f>Tabela1101418[Renda 87%]-(B12+B21+B29)</f>
        <v>7200</v>
      </c>
      <c r="F6" s="3"/>
      <c r="G6" s="3"/>
      <c r="H6" s="3"/>
      <c r="I6" s="7">
        <f>SUM(B12,B21,B29)</f>
        <v>23250</v>
      </c>
      <c r="J6" s="9">
        <f>Tabela1101418[Sando Final]+I6</f>
        <v>30450</v>
      </c>
    </row>
    <row r="7" spans="1:10">
      <c r="A7" s="39" t="s">
        <v>8</v>
      </c>
      <c r="B7" s="39"/>
      <c r="C7" s="39"/>
      <c r="D7" s="39"/>
      <c r="E7" s="39"/>
      <c r="F7" s="39"/>
      <c r="G7" s="39"/>
      <c r="H7" s="39"/>
      <c r="I7" s="1"/>
      <c r="J7" s="1"/>
    </row>
    <row r="8" spans="1:10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</row>
    <row r="9" spans="1:10">
      <c r="A9" s="1" t="s">
        <v>11</v>
      </c>
      <c r="B9" s="10">
        <v>600</v>
      </c>
      <c r="C9" s="1"/>
      <c r="D9" s="1"/>
      <c r="E9" s="1"/>
      <c r="F9" s="1"/>
      <c r="G9" s="1"/>
      <c r="H9" s="1"/>
      <c r="I9" s="1"/>
      <c r="J9" s="1"/>
    </row>
    <row r="10" spans="1:10">
      <c r="A10" s="1" t="s">
        <v>38</v>
      </c>
      <c r="B10" s="10">
        <v>2600</v>
      </c>
      <c r="C10" s="1"/>
      <c r="D10" s="1"/>
      <c r="E10" s="1"/>
      <c r="F10" s="1"/>
      <c r="G10" s="1"/>
      <c r="H10" s="1"/>
      <c r="I10" s="1"/>
      <c r="J10" s="1"/>
    </row>
    <row r="11" spans="1:10">
      <c r="A11" s="1" t="s">
        <v>13</v>
      </c>
      <c r="B11" s="10">
        <v>4000</v>
      </c>
      <c r="C11" s="1"/>
      <c r="D11" s="1"/>
      <c r="E11" s="1"/>
      <c r="F11" s="1"/>
      <c r="G11" s="1"/>
      <c r="H11" s="1"/>
      <c r="I11" s="1"/>
      <c r="J11" s="1"/>
    </row>
    <row r="12" spans="1:10">
      <c r="A12" s="2" t="s">
        <v>14</v>
      </c>
      <c r="B12" s="2">
        <f>SUM(B9:B11)</f>
        <v>7200</v>
      </c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0">
      <c r="A15" s="1" t="s">
        <v>16</v>
      </c>
      <c r="B15" s="1">
        <v>3000</v>
      </c>
      <c r="C15" s="1"/>
      <c r="D15" s="1"/>
      <c r="E15" s="1"/>
      <c r="F15" s="1"/>
      <c r="G15" s="1"/>
      <c r="H15" s="1"/>
      <c r="I15" s="1"/>
      <c r="J15" s="1"/>
    </row>
    <row r="16" spans="1:10">
      <c r="A16" s="1" t="s">
        <v>17</v>
      </c>
      <c r="B16" s="10">
        <v>1000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41</v>
      </c>
      <c r="B17" s="10">
        <v>850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0">
        <v>200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39</v>
      </c>
      <c r="B19" s="10">
        <v>1500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21</v>
      </c>
      <c r="B20" s="1">
        <v>3000</v>
      </c>
      <c r="C20" s="1"/>
      <c r="D20" s="1"/>
      <c r="E20" s="1"/>
      <c r="F20" s="1"/>
      <c r="G20" s="1"/>
      <c r="H20" s="1"/>
      <c r="I20" s="1"/>
      <c r="J20" s="1"/>
    </row>
    <row r="21" spans="1:10">
      <c r="A21" s="2" t="s">
        <v>14</v>
      </c>
      <c r="B21" s="2">
        <f>SUM(B15:B20)</f>
        <v>9550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5" t="s">
        <v>22</v>
      </c>
      <c r="B23" s="6" t="s">
        <v>10</v>
      </c>
      <c r="C23" s="1"/>
      <c r="D23" s="1"/>
      <c r="E23" s="1"/>
      <c r="F23" s="1"/>
      <c r="G23" s="1"/>
      <c r="H23" s="1"/>
      <c r="I23" s="1"/>
      <c r="J23" s="1"/>
    </row>
    <row r="24" spans="1:10">
      <c r="A24" s="1" t="s">
        <v>23</v>
      </c>
      <c r="B24" s="10">
        <v>2000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 t="s">
        <v>24</v>
      </c>
      <c r="B25" s="10">
        <v>500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 t="s">
        <v>25</v>
      </c>
      <c r="B26" s="10">
        <v>500</v>
      </c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26</v>
      </c>
      <c r="B27" s="1">
        <v>3000</v>
      </c>
      <c r="C27" s="1"/>
      <c r="D27" s="1"/>
      <c r="E27" s="1"/>
      <c r="F27" s="1"/>
      <c r="G27" s="1"/>
      <c r="H27" s="1"/>
      <c r="I27" s="1"/>
      <c r="J27" s="1"/>
    </row>
    <row r="28" spans="1:10">
      <c r="A28" s="1" t="s">
        <v>27</v>
      </c>
      <c r="B28" s="10">
        <v>500</v>
      </c>
      <c r="C28" s="1"/>
      <c r="D28" s="1"/>
      <c r="E28" s="1"/>
      <c r="F28" s="1"/>
      <c r="G28" s="1"/>
      <c r="H28" s="1"/>
      <c r="I28" s="1"/>
      <c r="J28" s="1"/>
    </row>
    <row r="29" spans="1:10">
      <c r="A29" s="2" t="s">
        <v>14</v>
      </c>
      <c r="B29" s="2">
        <f>SUM(B24:B28)</f>
        <v>6500</v>
      </c>
      <c r="C29" s="1"/>
      <c r="D29" s="1"/>
      <c r="E29" s="1"/>
      <c r="F29" s="1"/>
      <c r="G29" s="1"/>
      <c r="H29" s="1"/>
      <c r="I29" s="1"/>
      <c r="J29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workbookViewId="0">
      <selection activeCell="D9" sqref="D9"/>
    </sheetView>
  </sheetViews>
  <sheetFormatPr defaultRowHeight="15"/>
  <cols>
    <col min="1" max="1" width="29.7109375" customWidth="1"/>
    <col min="2" max="2" width="15.140625" customWidth="1"/>
    <col min="3" max="3" width="14.85546875" customWidth="1"/>
    <col min="4" max="4" width="16" customWidth="1"/>
    <col min="5" max="5" width="18.42578125" customWidth="1"/>
    <col min="6" max="8" width="9.28515625" hidden="1" customWidth="1"/>
    <col min="9" max="9" width="20.7109375" customWidth="1"/>
    <col min="10" max="10" width="14.5703125" customWidth="1"/>
  </cols>
  <sheetData>
    <row r="1" spans="1:10">
      <c r="B1" t="s">
        <v>36</v>
      </c>
    </row>
    <row r="2" spans="1:10">
      <c r="A2" s="36" t="s">
        <v>42</v>
      </c>
      <c r="B2" s="36"/>
    </row>
    <row r="3" spans="1:10">
      <c r="A3" s="36"/>
      <c r="B3" s="36"/>
      <c r="C3" s="37" t="s">
        <v>1</v>
      </c>
      <c r="D3" s="37"/>
      <c r="E3" s="37"/>
    </row>
    <row r="5" spans="1:10">
      <c r="A5" s="4" t="s">
        <v>2</v>
      </c>
      <c r="B5" s="3" t="s">
        <v>3</v>
      </c>
      <c r="C5" s="4" t="s">
        <v>4</v>
      </c>
      <c r="D5" s="6" t="s">
        <v>5</v>
      </c>
      <c r="E5" s="8" t="s">
        <v>6</v>
      </c>
      <c r="F5" s="3"/>
      <c r="G5" s="3"/>
      <c r="H5" s="3"/>
      <c r="I5" s="7" t="s">
        <v>7</v>
      </c>
      <c r="J5" s="9" t="s">
        <v>30</v>
      </c>
    </row>
    <row r="6" spans="1:10">
      <c r="A6" s="1">
        <f>14000+21000</f>
        <v>35000</v>
      </c>
      <c r="B6" s="1">
        <f>Tabela110141822[ENTRADA]*3/100</f>
        <v>1050</v>
      </c>
      <c r="C6" s="1">
        <f>Tabela110141822[ENTRADA]*10/100</f>
        <v>3500</v>
      </c>
      <c r="D6" s="3">
        <f>Tabela110141822[ENTRADA]-(Tabela110141822[INSS 3%]+Tabela110141822[DIZIMO 10%])</f>
        <v>30450</v>
      </c>
      <c r="E6" s="8">
        <f>Tabela110141822[Renda 87%]-(B13+B22+B32)</f>
        <v>9150</v>
      </c>
      <c r="F6" s="3"/>
      <c r="G6" s="3"/>
      <c r="H6" s="3"/>
      <c r="I6" s="7">
        <f>SUM(B13,B22,B32)</f>
        <v>21300</v>
      </c>
      <c r="J6" s="9">
        <f>Tabela110141822[Sando Final]+I6</f>
        <v>30450</v>
      </c>
    </row>
    <row r="7" spans="1:10">
      <c r="A7" s="38" t="s">
        <v>8</v>
      </c>
      <c r="B7" s="38"/>
      <c r="C7" s="38"/>
      <c r="D7" s="38"/>
      <c r="E7" s="38"/>
      <c r="F7" s="38"/>
      <c r="G7" s="38"/>
      <c r="H7" s="38"/>
      <c r="I7" s="1"/>
      <c r="J7" s="1"/>
    </row>
    <row r="8" spans="1:10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</row>
    <row r="9" spans="1:10">
      <c r="A9" s="1" t="s">
        <v>11</v>
      </c>
      <c r="B9" s="10">
        <v>250</v>
      </c>
      <c r="C9" s="1"/>
      <c r="D9" s="1"/>
      <c r="E9" s="1"/>
      <c r="F9" s="1"/>
      <c r="G9" s="1"/>
      <c r="H9" s="1"/>
      <c r="I9" s="1"/>
      <c r="J9" s="1"/>
    </row>
    <row r="10" spans="1:10">
      <c r="A10" s="1" t="s">
        <v>43</v>
      </c>
      <c r="B10" s="10">
        <v>500</v>
      </c>
      <c r="C10" s="1"/>
      <c r="D10" s="1"/>
      <c r="E10" s="1"/>
      <c r="F10" s="1"/>
      <c r="G10" s="1"/>
      <c r="H10" s="1"/>
      <c r="I10" s="1"/>
      <c r="J10" s="1"/>
    </row>
    <row r="11" spans="1:10">
      <c r="A11" s="1" t="s">
        <v>44</v>
      </c>
      <c r="B11" s="10">
        <f>SUM(B10:B10)</f>
        <v>500</v>
      </c>
      <c r="C11" s="1"/>
      <c r="D11" s="1"/>
      <c r="E11" s="1"/>
      <c r="F11" s="1"/>
      <c r="G11" s="1"/>
      <c r="H11" s="1"/>
      <c r="I11" s="1"/>
      <c r="J11" s="1"/>
    </row>
    <row r="12" spans="1:10">
      <c r="A12" s="1" t="s">
        <v>13</v>
      </c>
      <c r="B12" s="10">
        <v>4000</v>
      </c>
      <c r="C12" s="1"/>
      <c r="D12" s="1"/>
      <c r="E12" s="1"/>
      <c r="F12" s="1"/>
      <c r="G12" s="1"/>
      <c r="H12" s="1"/>
      <c r="I12" s="1"/>
      <c r="J12" s="1"/>
    </row>
    <row r="13" spans="1:10">
      <c r="A13" s="2" t="s">
        <v>14</v>
      </c>
      <c r="B13" s="2">
        <f>SUM(B9:B12)</f>
        <v>5250</v>
      </c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4" t="s">
        <v>15</v>
      </c>
      <c r="B15" s="4" t="s">
        <v>10</v>
      </c>
      <c r="C15" s="1"/>
      <c r="D15" s="1"/>
      <c r="E15" s="1"/>
      <c r="F15" s="1"/>
      <c r="G15" s="1"/>
      <c r="H15" s="1"/>
      <c r="I15" s="1"/>
      <c r="J15" s="1"/>
    </row>
    <row r="16" spans="1:10">
      <c r="A16" s="1" t="s">
        <v>16</v>
      </c>
      <c r="B16" s="1">
        <v>3000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17</v>
      </c>
      <c r="B17" s="10">
        <v>1000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41</v>
      </c>
      <c r="B18" s="10">
        <v>850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19</v>
      </c>
      <c r="B19" s="10">
        <v>200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39</v>
      </c>
      <c r="B20" s="10">
        <v>1500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21</v>
      </c>
      <c r="B21" s="10">
        <v>2000</v>
      </c>
      <c r="C21" s="1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SUM(B16:B21)</f>
        <v>8550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 t="s">
        <v>23</v>
      </c>
      <c r="B25" s="10">
        <v>2000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 t="s">
        <v>24</v>
      </c>
      <c r="B26" s="10">
        <v>500</v>
      </c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25</v>
      </c>
      <c r="B27" s="10">
        <v>500</v>
      </c>
      <c r="C27" s="1"/>
      <c r="D27" s="1"/>
      <c r="E27" s="1"/>
      <c r="F27" s="1"/>
      <c r="G27" s="1"/>
      <c r="H27" s="1"/>
      <c r="I27" s="1"/>
      <c r="J27" s="1"/>
    </row>
    <row r="28" spans="1:10">
      <c r="A28" s="1" t="s">
        <v>26</v>
      </c>
      <c r="B28" s="10">
        <v>3000</v>
      </c>
      <c r="C28" s="1"/>
      <c r="D28" s="1"/>
      <c r="E28" s="1"/>
      <c r="F28" s="1"/>
      <c r="G28" s="1"/>
      <c r="H28" s="1"/>
      <c r="I28" s="1"/>
      <c r="J28" s="1"/>
    </row>
    <row r="29" spans="1:10">
      <c r="A29" s="1" t="s">
        <v>45</v>
      </c>
      <c r="B29" s="10">
        <v>700</v>
      </c>
      <c r="C29" s="1"/>
      <c r="D29" s="1"/>
      <c r="E29" s="1"/>
      <c r="F29" s="1"/>
      <c r="G29" s="1"/>
      <c r="H29" s="1"/>
      <c r="I29" s="1"/>
      <c r="J29" s="1"/>
    </row>
    <row r="30" spans="1:10">
      <c r="A30" s="1" t="s">
        <v>46</v>
      </c>
      <c r="B30" s="10">
        <v>300</v>
      </c>
      <c r="C30" s="1"/>
      <c r="D30" s="1"/>
      <c r="E30" s="1"/>
      <c r="F30" s="1"/>
      <c r="G30" s="1"/>
      <c r="H30" s="1"/>
      <c r="I30" s="1"/>
      <c r="J30" s="1"/>
    </row>
    <row r="31" spans="1:10">
      <c r="A31" s="1" t="s">
        <v>27</v>
      </c>
      <c r="B31" s="10">
        <v>500</v>
      </c>
      <c r="C31" s="1"/>
      <c r="D31" s="1"/>
      <c r="E31" s="1"/>
      <c r="F31" s="1"/>
      <c r="G31" s="1"/>
      <c r="H31" s="1"/>
      <c r="I31" s="1"/>
      <c r="J31" s="1"/>
    </row>
    <row r="32" spans="1:10">
      <c r="A32" s="2" t="s">
        <v>14</v>
      </c>
      <c r="B32" s="2">
        <f>SUM(B25:B31)</f>
        <v>7500</v>
      </c>
      <c r="C32" s="1"/>
      <c r="D32" s="1"/>
      <c r="E32" s="1"/>
      <c r="F32" s="1"/>
      <c r="G32" s="1"/>
      <c r="H32" s="1"/>
      <c r="I32" s="1"/>
      <c r="J32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"/>
  <sheetViews>
    <sheetView zoomScaleNormal="100" workbookViewId="0">
      <selection activeCell="E31" sqref="E31"/>
    </sheetView>
  </sheetViews>
  <sheetFormatPr defaultRowHeight="15"/>
  <cols>
    <col min="1" max="1" width="29.7109375" customWidth="1"/>
    <col min="2" max="2" width="15.140625" customWidth="1"/>
    <col min="3" max="3" width="12.7109375" customWidth="1"/>
    <col min="4" max="4" width="15.140625" customWidth="1"/>
    <col min="5" max="5" width="13.7109375" customWidth="1"/>
    <col min="6" max="7" width="9.28515625" hidden="1" customWidth="1"/>
    <col min="8" max="8" width="0.28515625" customWidth="1"/>
    <col min="9" max="9" width="15.42578125" customWidth="1"/>
    <col min="10" max="10" width="14.5703125" customWidth="1"/>
  </cols>
  <sheetData>
    <row r="1" spans="1:12">
      <c r="B1" t="s">
        <v>36</v>
      </c>
    </row>
    <row r="2" spans="1:12">
      <c r="A2" s="36" t="s">
        <v>47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  <c r="L5">
        <v>1500</v>
      </c>
    </row>
    <row r="6" spans="1:12">
      <c r="A6" s="13">
        <f>14000+21000</f>
        <v>35000</v>
      </c>
      <c r="B6" s="13">
        <f>Tabela11014182226[ENTRADA]*3/100</f>
        <v>1050</v>
      </c>
      <c r="C6" s="13">
        <f>Tabela11014182226[ENTRADA]*10/100</f>
        <v>3500</v>
      </c>
      <c r="D6" s="11">
        <f>Tabela11014182226[ENTRADA]-(Tabela11014182226[INSS 3%]+Tabela11014182226[DIZIMO 10%])</f>
        <v>30450</v>
      </c>
      <c r="E6" s="8">
        <f>Tabela11014182226[Renda 87%]-(B12+B22+B30)</f>
        <v>4400</v>
      </c>
      <c r="F6" s="11"/>
      <c r="G6" s="11"/>
      <c r="H6" s="11"/>
      <c r="I6" s="7">
        <f>SUM(B12,B22,B30)</f>
        <v>26050</v>
      </c>
      <c r="J6" s="9">
        <f>Tabela11014182226[Sando Final]+I6</f>
        <v>30450</v>
      </c>
    </row>
    <row r="7" spans="1:12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</row>
    <row r="8" spans="1:12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</row>
    <row r="9" spans="1:12">
      <c r="A9" s="1" t="s">
        <v>48</v>
      </c>
      <c r="B9" s="10">
        <v>3000</v>
      </c>
      <c r="C9" s="1"/>
      <c r="D9" s="1"/>
      <c r="E9" s="1"/>
      <c r="F9" s="1"/>
      <c r="G9" s="1"/>
      <c r="H9" s="1"/>
      <c r="I9" s="1"/>
      <c r="J9" s="1"/>
    </row>
    <row r="10" spans="1:12">
      <c r="A10" s="1" t="s">
        <v>49</v>
      </c>
      <c r="B10" s="10">
        <v>1000</v>
      </c>
      <c r="C10" s="1"/>
      <c r="D10" s="1"/>
      <c r="E10" s="1"/>
      <c r="F10" s="1"/>
      <c r="G10" s="1"/>
      <c r="H10" s="1"/>
      <c r="I10" s="1"/>
      <c r="J10" s="1"/>
    </row>
    <row r="11" spans="1:12">
      <c r="A11" s="1" t="s">
        <v>50</v>
      </c>
      <c r="B11" s="10">
        <v>2000</v>
      </c>
      <c r="C11" s="1"/>
      <c r="D11" s="1"/>
      <c r="E11" s="1"/>
      <c r="F11" s="1"/>
      <c r="G11" s="1"/>
      <c r="H11" s="1"/>
      <c r="I11" s="1"/>
      <c r="J11" s="1"/>
    </row>
    <row r="12" spans="1:12">
      <c r="A12" s="2" t="s">
        <v>14</v>
      </c>
      <c r="B12" s="2">
        <f>SUM(B9:B11)</f>
        <v>6000</v>
      </c>
      <c r="C12" s="1"/>
      <c r="D12" s="1"/>
      <c r="E12" s="1"/>
      <c r="F12" s="1"/>
      <c r="G12" s="1"/>
      <c r="H12" s="1"/>
      <c r="I12" s="1"/>
      <c r="J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2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2">
      <c r="A15" s="1" t="s">
        <v>16</v>
      </c>
      <c r="B15" s="10">
        <v>3000</v>
      </c>
      <c r="C15" s="1"/>
      <c r="D15" s="1"/>
      <c r="E15" s="1"/>
      <c r="F15" s="1"/>
      <c r="G15" s="1"/>
      <c r="H15" s="1"/>
      <c r="I15" s="1"/>
      <c r="J15" s="1"/>
    </row>
    <row r="16" spans="1:12">
      <c r="A16" s="1" t="s">
        <v>17</v>
      </c>
      <c r="B16" s="10">
        <v>1000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41</v>
      </c>
      <c r="B17" s="10">
        <v>950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0">
        <v>200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51</v>
      </c>
      <c r="B19" s="10">
        <v>900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52</v>
      </c>
      <c r="B20" s="10">
        <v>6000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21</v>
      </c>
      <c r="B21" s="10">
        <v>1500</v>
      </c>
      <c r="C21" s="1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SUM(B15:B21)</f>
        <v>13550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 t="s">
        <v>26</v>
      </c>
      <c r="B25" s="10">
        <v>3000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 t="s">
        <v>23</v>
      </c>
      <c r="B26" s="10">
        <v>2000</v>
      </c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25</v>
      </c>
      <c r="B27" s="10">
        <v>500</v>
      </c>
      <c r="C27" s="1"/>
      <c r="D27" s="1"/>
      <c r="E27" s="1"/>
      <c r="F27" s="1"/>
      <c r="G27" s="1"/>
      <c r="H27" s="1"/>
      <c r="I27" s="1"/>
      <c r="J27" s="1"/>
    </row>
    <row r="28" spans="1:10">
      <c r="A28" s="1" t="s">
        <v>27</v>
      </c>
      <c r="B28" s="10">
        <v>500</v>
      </c>
      <c r="C28" s="1"/>
      <c r="D28" s="1"/>
      <c r="E28" s="1"/>
      <c r="F28" s="1"/>
      <c r="G28" s="1"/>
      <c r="H28" s="1"/>
      <c r="I28" s="1"/>
      <c r="J28" s="1"/>
    </row>
    <row r="29" spans="1:10">
      <c r="A29" s="1" t="s">
        <v>24</v>
      </c>
      <c r="B29" s="10">
        <v>500</v>
      </c>
      <c r="C29" s="1"/>
      <c r="D29" s="1"/>
      <c r="E29" s="1"/>
      <c r="F29" s="1"/>
      <c r="G29" s="1"/>
      <c r="H29" s="1"/>
      <c r="I29" s="1"/>
      <c r="J29" s="1"/>
    </row>
    <row r="30" spans="1:10">
      <c r="A30" s="2" t="s">
        <v>14</v>
      </c>
      <c r="B30" s="2">
        <f>SUM(B25:B29)</f>
        <v>6500</v>
      </c>
      <c r="C30" s="1"/>
      <c r="D30" s="1"/>
      <c r="E30" s="1"/>
      <c r="F30" s="1"/>
      <c r="G30" s="1"/>
      <c r="H30" s="1"/>
      <c r="I30" s="1"/>
      <c r="J30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1"/>
  <sheetViews>
    <sheetView zoomScaleNormal="100" workbookViewId="0">
      <selection activeCell="A6" sqref="A6"/>
    </sheetView>
  </sheetViews>
  <sheetFormatPr defaultRowHeight="15"/>
  <cols>
    <col min="1" max="1" width="29.7109375" customWidth="1"/>
    <col min="2" max="2" width="15.140625" customWidth="1"/>
    <col min="3" max="3" width="12.7109375" customWidth="1"/>
    <col min="4" max="4" width="15.140625" customWidth="1"/>
    <col min="5" max="5" width="13.7109375" customWidth="1"/>
    <col min="6" max="7" width="9.28515625" hidden="1" customWidth="1"/>
    <col min="8" max="8" width="0.28515625" customWidth="1"/>
    <col min="9" max="9" width="15.42578125" customWidth="1"/>
    <col min="10" max="10" width="14.5703125" customWidth="1"/>
  </cols>
  <sheetData>
    <row r="1" spans="1:12">
      <c r="B1" t="s">
        <v>36</v>
      </c>
    </row>
    <row r="2" spans="1:12">
      <c r="A2" s="36" t="s">
        <v>53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  <c r="L5">
        <v>1500</v>
      </c>
    </row>
    <row r="6" spans="1:12">
      <c r="A6" s="13">
        <f>14000+21000</f>
        <v>35000</v>
      </c>
      <c r="B6" s="13">
        <f>Tabela1101418222630[ENTRADA]*3/100</f>
        <v>1050</v>
      </c>
      <c r="C6" s="13">
        <f>Tabela1101418222630[ENTRADA]*10/100</f>
        <v>3500</v>
      </c>
      <c r="D6" s="11">
        <f>Tabela1101418222630[ENTRADA]-(Tabela1101418222630[INSS 3%]+Tabela1101418222630[DIZIMO 10%])</f>
        <v>30450</v>
      </c>
      <c r="E6" s="8">
        <f>Tabela1101418222630[Renda 87%]-(B13+B23+B31)</f>
        <v>4690</v>
      </c>
      <c r="F6" s="11"/>
      <c r="G6" s="11"/>
      <c r="H6" s="11"/>
      <c r="I6" s="7">
        <f>SUM(B13,B23,B31)</f>
        <v>25760</v>
      </c>
      <c r="J6" s="9">
        <f>Tabela1101418222630[Sando Final]+I6</f>
        <v>30450</v>
      </c>
    </row>
    <row r="7" spans="1:12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</row>
    <row r="8" spans="1:12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</row>
    <row r="9" spans="1:12">
      <c r="A9" s="1" t="s">
        <v>54</v>
      </c>
      <c r="B9" s="10">
        <v>1000</v>
      </c>
      <c r="C9" s="1"/>
      <c r="D9" s="1"/>
      <c r="E9" s="1"/>
      <c r="F9" s="1"/>
      <c r="G9" s="1"/>
      <c r="H9" s="1"/>
      <c r="I9" s="1"/>
      <c r="J9" s="1"/>
    </row>
    <row r="10" spans="1:12">
      <c r="A10" s="1" t="s">
        <v>55</v>
      </c>
      <c r="B10" s="10">
        <v>360</v>
      </c>
      <c r="C10" s="1"/>
      <c r="D10" s="1"/>
      <c r="E10" s="1"/>
      <c r="F10" s="1"/>
      <c r="G10" s="1"/>
      <c r="H10" s="1"/>
      <c r="I10" s="1"/>
      <c r="J10" s="1"/>
    </row>
    <row r="11" spans="1:12">
      <c r="A11" s="1" t="s">
        <v>56</v>
      </c>
      <c r="B11" s="10">
        <v>600</v>
      </c>
      <c r="C11" s="1"/>
      <c r="D11" s="1"/>
      <c r="E11" s="1"/>
      <c r="F11" s="1"/>
      <c r="G11" s="1"/>
      <c r="H11" s="1"/>
      <c r="I11" s="1"/>
      <c r="J11" s="1"/>
    </row>
    <row r="12" spans="1:12">
      <c r="A12" s="1" t="s">
        <v>57</v>
      </c>
      <c r="B12" s="10">
        <v>500</v>
      </c>
      <c r="C12" s="1"/>
      <c r="D12" s="1"/>
      <c r="E12" s="1"/>
      <c r="F12" s="1"/>
      <c r="G12" s="1"/>
      <c r="H12" s="1"/>
      <c r="I12" s="1"/>
      <c r="J12" s="1"/>
    </row>
    <row r="13" spans="1:12">
      <c r="A13" s="2" t="s">
        <v>14</v>
      </c>
      <c r="B13" s="2">
        <f>SUM(B9:B12)</f>
        <v>2460</v>
      </c>
      <c r="C13" s="1"/>
      <c r="D13" s="1"/>
      <c r="E13" s="1"/>
      <c r="F13" s="1"/>
      <c r="G13" s="1"/>
      <c r="H13" s="1"/>
      <c r="I13" s="1"/>
      <c r="J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2">
      <c r="A15" s="4" t="s">
        <v>15</v>
      </c>
      <c r="B15" s="4" t="s">
        <v>10</v>
      </c>
      <c r="C15" s="1"/>
      <c r="D15" s="1"/>
      <c r="E15" s="1"/>
      <c r="F15" s="1"/>
      <c r="G15" s="1"/>
      <c r="H15" s="1"/>
      <c r="I15" s="1"/>
      <c r="J15" s="1"/>
    </row>
    <row r="16" spans="1:12">
      <c r="A16" s="1" t="s">
        <v>16</v>
      </c>
      <c r="B16" s="10">
        <v>5000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17</v>
      </c>
      <c r="B17" s="10">
        <v>5000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41</v>
      </c>
      <c r="B18" s="10">
        <v>900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19</v>
      </c>
      <c r="B19" s="10">
        <v>200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20</v>
      </c>
      <c r="B20" s="10">
        <v>2300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51</v>
      </c>
      <c r="B21" s="10">
        <v>900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21</v>
      </c>
      <c r="B22" s="10">
        <v>2500</v>
      </c>
      <c r="C22" s="1"/>
      <c r="D22" s="1"/>
      <c r="E22" s="1"/>
      <c r="F22" s="1"/>
      <c r="G22" s="1"/>
      <c r="H22" s="1"/>
      <c r="I22" s="1"/>
      <c r="J22" s="1"/>
    </row>
    <row r="23" spans="1:10">
      <c r="A23" s="2" t="s">
        <v>14</v>
      </c>
      <c r="B23" s="2">
        <f>SUM(B16:B22)</f>
        <v>16800</v>
      </c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5" t="s">
        <v>22</v>
      </c>
      <c r="B25" s="6" t="s">
        <v>10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 t="s">
        <v>26</v>
      </c>
      <c r="B26" s="10">
        <v>3000</v>
      </c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23</v>
      </c>
      <c r="B27" s="10">
        <v>2000</v>
      </c>
      <c r="C27" s="1"/>
      <c r="D27" s="1"/>
      <c r="E27" s="1"/>
      <c r="F27" s="1"/>
      <c r="G27" s="1"/>
      <c r="H27" s="1"/>
      <c r="I27" s="1"/>
      <c r="J27" s="1"/>
    </row>
    <row r="28" spans="1:10">
      <c r="A28" s="1" t="s">
        <v>25</v>
      </c>
      <c r="B28" s="10">
        <v>500</v>
      </c>
      <c r="C28" s="1"/>
      <c r="D28" s="1"/>
      <c r="E28" s="1"/>
      <c r="F28" s="1"/>
      <c r="G28" s="1"/>
      <c r="H28" s="1"/>
      <c r="I28" s="1"/>
      <c r="J28" s="1"/>
    </row>
    <row r="29" spans="1:10">
      <c r="A29" s="1" t="s">
        <v>27</v>
      </c>
      <c r="B29" s="10">
        <v>500</v>
      </c>
      <c r="C29" s="1"/>
      <c r="D29" s="1"/>
      <c r="E29" s="1"/>
      <c r="F29" s="1"/>
      <c r="G29" s="1"/>
      <c r="H29" s="1"/>
      <c r="I29" s="1"/>
      <c r="J29" s="1"/>
    </row>
    <row r="30" spans="1:10">
      <c r="A30" s="1" t="s">
        <v>24</v>
      </c>
      <c r="B30" s="10">
        <v>500</v>
      </c>
      <c r="C30" s="1"/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SUM(B26:B30)</f>
        <v>6500</v>
      </c>
      <c r="C31" s="1"/>
      <c r="D31" s="1"/>
      <c r="E31" s="1"/>
      <c r="F31" s="1"/>
      <c r="G31" s="1"/>
      <c r="H31" s="1"/>
      <c r="I31" s="1"/>
      <c r="J31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4"/>
  <sheetViews>
    <sheetView topLeftCell="A9" zoomScaleNormal="100" workbookViewId="0">
      <selection activeCell="B9" sqref="B9"/>
    </sheetView>
  </sheetViews>
  <sheetFormatPr defaultRowHeight="15"/>
  <cols>
    <col min="1" max="1" width="29.7109375" customWidth="1"/>
    <col min="2" max="2" width="15.140625" customWidth="1"/>
    <col min="3" max="3" width="12.7109375" customWidth="1"/>
    <col min="4" max="4" width="15.140625" customWidth="1"/>
    <col min="5" max="5" width="13.7109375" customWidth="1"/>
    <col min="6" max="7" width="9.28515625" hidden="1" customWidth="1"/>
    <col min="8" max="8" width="0.28515625" customWidth="1"/>
    <col min="9" max="9" width="15.42578125" customWidth="1"/>
    <col min="10" max="10" width="14.5703125" customWidth="1"/>
  </cols>
  <sheetData>
    <row r="1" spans="1:10">
      <c r="B1" t="s">
        <v>36</v>
      </c>
    </row>
    <row r="2" spans="1:10">
      <c r="A2" s="36" t="s">
        <v>58</v>
      </c>
      <c r="B2" s="36"/>
    </row>
    <row r="3" spans="1:10">
      <c r="A3" s="36"/>
      <c r="B3" s="36"/>
      <c r="C3" s="37" t="s">
        <v>1</v>
      </c>
      <c r="D3" s="37"/>
      <c r="E3" s="37"/>
    </row>
    <row r="5" spans="1:10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0">
      <c r="A6" s="13">
        <v>42000</v>
      </c>
      <c r="B6" s="13">
        <f>Tabela110141822263034[ENTRADA]*3/100</f>
        <v>1260</v>
      </c>
      <c r="C6" s="13">
        <f>Tabela110141822263034[ENTRADA]*10/100</f>
        <v>4200</v>
      </c>
      <c r="D6" s="11">
        <f>Tabela110141822263034[ENTRADA]-(Tabela110141822263034[INSS 3%]+Tabela110141822263034[DIZIMO 10%])</f>
        <v>36540</v>
      </c>
      <c r="E6" s="8">
        <f>Tabela110141822263034[Renda 87%]-(B13+B24+B34)</f>
        <v>3540</v>
      </c>
      <c r="F6" s="11"/>
      <c r="G6" s="11"/>
      <c r="H6" s="11"/>
      <c r="I6" s="7">
        <f>SUM(B13,B24,B34)</f>
        <v>33000</v>
      </c>
      <c r="J6" s="9">
        <f>Tabela110141822263034[Sando Final]+I6</f>
        <v>36540</v>
      </c>
    </row>
    <row r="7" spans="1:10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</row>
    <row r="8" spans="1:10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</row>
    <row r="9" spans="1:10">
      <c r="A9" s="1" t="s">
        <v>59</v>
      </c>
      <c r="B9" s="10">
        <v>1000</v>
      </c>
      <c r="C9" s="1"/>
      <c r="D9" s="1"/>
      <c r="E9" s="1"/>
      <c r="F9" s="1"/>
      <c r="G9" s="1"/>
      <c r="H9" s="1"/>
      <c r="I9" s="1"/>
      <c r="J9" s="1"/>
    </row>
    <row r="10" spans="1:10">
      <c r="A10" s="1" t="s">
        <v>60</v>
      </c>
      <c r="B10" s="10">
        <v>500</v>
      </c>
      <c r="C10" s="1"/>
      <c r="D10" s="1"/>
      <c r="E10" s="1"/>
      <c r="F10" s="1"/>
      <c r="G10" s="1"/>
      <c r="H10" s="1"/>
      <c r="I10" s="1"/>
      <c r="J10" s="1"/>
    </row>
    <row r="11" spans="1:10">
      <c r="A11" s="1" t="s">
        <v>61</v>
      </c>
      <c r="B11" s="10">
        <v>1000</v>
      </c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10"/>
      <c r="C12" s="1"/>
      <c r="D12" s="1"/>
      <c r="E12" s="1"/>
      <c r="F12" s="1"/>
      <c r="G12" s="1"/>
      <c r="H12" s="1"/>
      <c r="I12" s="1"/>
      <c r="J12" s="1"/>
    </row>
    <row r="13" spans="1:10">
      <c r="A13" s="2" t="s">
        <v>14</v>
      </c>
      <c r="B13" s="2">
        <f>SUM(B9:B12)</f>
        <v>2500</v>
      </c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4" t="s">
        <v>15</v>
      </c>
      <c r="B15" s="4" t="s">
        <v>10</v>
      </c>
      <c r="C15" s="1"/>
      <c r="D15" s="1"/>
      <c r="E15" s="1"/>
      <c r="F15" s="1"/>
      <c r="G15" s="1"/>
      <c r="H15" s="1"/>
      <c r="I15" s="1"/>
      <c r="J15" s="1"/>
    </row>
    <row r="16" spans="1:10">
      <c r="A16" s="1" t="s">
        <v>16</v>
      </c>
      <c r="B16" s="10">
        <v>5000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17</v>
      </c>
      <c r="B17" s="10">
        <v>1500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41</v>
      </c>
      <c r="B18" s="10">
        <v>1300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19</v>
      </c>
      <c r="B19" s="10">
        <v>500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62</v>
      </c>
      <c r="B20" s="10">
        <v>7500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20</v>
      </c>
      <c r="B21" s="10">
        <v>4500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63</v>
      </c>
      <c r="B22" s="10">
        <v>1500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 t="s">
        <v>64</v>
      </c>
      <c r="B23" s="10">
        <v>1500</v>
      </c>
      <c r="C23" s="1"/>
      <c r="D23" s="1"/>
      <c r="E23" s="1"/>
      <c r="F23" s="1"/>
      <c r="G23" s="1"/>
      <c r="H23" s="1"/>
      <c r="I23" s="1"/>
      <c r="J23" s="1"/>
    </row>
    <row r="24" spans="1:10">
      <c r="A24" s="2" t="s">
        <v>14</v>
      </c>
      <c r="B24" s="2">
        <f>SUM(B16:B23)</f>
        <v>23300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5" t="s">
        <v>22</v>
      </c>
      <c r="B26" s="6" t="s">
        <v>10</v>
      </c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26</v>
      </c>
      <c r="B27" s="10">
        <v>3000</v>
      </c>
      <c r="C27" s="1"/>
      <c r="D27" s="1"/>
      <c r="E27" s="1"/>
      <c r="F27" s="1"/>
      <c r="G27" s="1"/>
      <c r="H27" s="1"/>
      <c r="I27" s="1"/>
      <c r="J27" s="1"/>
    </row>
    <row r="28" spans="1:10">
      <c r="A28" s="1" t="s">
        <v>23</v>
      </c>
      <c r="B28" s="10">
        <v>2000</v>
      </c>
      <c r="C28" s="1"/>
      <c r="D28" s="1"/>
      <c r="E28" s="1"/>
      <c r="F28" s="1"/>
      <c r="G28" s="1"/>
      <c r="H28" s="1"/>
      <c r="I28" s="1"/>
      <c r="J28" s="1"/>
    </row>
    <row r="29" spans="1:10">
      <c r="A29" s="1" t="s">
        <v>25</v>
      </c>
      <c r="B29" s="10">
        <v>500</v>
      </c>
      <c r="C29" s="1"/>
      <c r="D29" s="1"/>
      <c r="E29" s="1"/>
      <c r="F29" s="1"/>
      <c r="G29" s="1"/>
      <c r="H29" s="1"/>
      <c r="I29" s="1"/>
      <c r="J29" s="1"/>
    </row>
    <row r="30" spans="1:10">
      <c r="A30" s="1" t="s">
        <v>27</v>
      </c>
      <c r="B30" s="10">
        <v>500</v>
      </c>
      <c r="C30" s="1"/>
      <c r="D30" s="1"/>
      <c r="E30" s="1"/>
      <c r="F30" s="1"/>
      <c r="G30" s="1"/>
      <c r="H30" s="1"/>
      <c r="I30" s="1"/>
      <c r="J30" s="1"/>
    </row>
    <row r="31" spans="1:10">
      <c r="A31" s="1" t="s">
        <v>65</v>
      </c>
      <c r="B31" s="10">
        <v>500</v>
      </c>
      <c r="C31" s="1"/>
      <c r="D31" s="1"/>
      <c r="E31" s="1"/>
      <c r="F31" s="1"/>
      <c r="G31" s="1"/>
      <c r="H31" s="1"/>
      <c r="I31" s="1"/>
      <c r="J31" s="1"/>
    </row>
    <row r="32" spans="1:10">
      <c r="A32" s="1" t="s">
        <v>66</v>
      </c>
      <c r="B32" s="10">
        <v>200</v>
      </c>
      <c r="C32" s="1"/>
      <c r="D32" s="1"/>
      <c r="E32" s="1"/>
      <c r="F32" s="1"/>
      <c r="G32" s="1"/>
      <c r="H32" s="1"/>
      <c r="I32" s="1"/>
      <c r="J32" s="1"/>
    </row>
    <row r="33" spans="1:10">
      <c r="A33" s="1" t="s">
        <v>24</v>
      </c>
      <c r="B33" s="10">
        <v>500</v>
      </c>
      <c r="C33" s="1"/>
      <c r="D33" s="1"/>
      <c r="E33" s="1"/>
      <c r="F33" s="1"/>
      <c r="G33" s="1"/>
      <c r="H33" s="1"/>
      <c r="I33" s="1"/>
      <c r="J33" s="1"/>
    </row>
    <row r="34" spans="1:10">
      <c r="A34" s="2" t="s">
        <v>14</v>
      </c>
      <c r="B34" s="2">
        <f>SUM(B27:B33)</f>
        <v>7200</v>
      </c>
      <c r="C34" s="1"/>
      <c r="D34" s="1"/>
      <c r="E34" s="1"/>
      <c r="F34" s="1"/>
      <c r="G34" s="1"/>
      <c r="H34" s="1"/>
      <c r="I34" s="1"/>
      <c r="J34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5"/>
  <sheetViews>
    <sheetView zoomScaleNormal="100" workbookViewId="0">
      <selection activeCell="B9" sqref="B9"/>
    </sheetView>
  </sheetViews>
  <sheetFormatPr defaultRowHeight="15"/>
  <cols>
    <col min="1" max="1" width="29.7109375" customWidth="1"/>
    <col min="2" max="2" width="15.140625" customWidth="1"/>
    <col min="3" max="3" width="12.7109375" customWidth="1"/>
    <col min="4" max="4" width="15.140625" customWidth="1"/>
    <col min="5" max="5" width="13.7109375" customWidth="1"/>
    <col min="6" max="7" width="9.28515625" hidden="1" customWidth="1"/>
    <col min="8" max="8" width="0.28515625" customWidth="1"/>
    <col min="9" max="9" width="15.42578125" customWidth="1"/>
    <col min="10" max="10" width="14.5703125" customWidth="1"/>
  </cols>
  <sheetData>
    <row r="1" spans="1:10">
      <c r="B1" t="s">
        <v>36</v>
      </c>
    </row>
    <row r="2" spans="1:10">
      <c r="A2" s="36" t="s">
        <v>58</v>
      </c>
      <c r="B2" s="36"/>
    </row>
    <row r="3" spans="1:10">
      <c r="A3" s="36"/>
      <c r="B3" s="36"/>
      <c r="C3" s="37" t="s">
        <v>1</v>
      </c>
      <c r="D3" s="37"/>
      <c r="E3" s="37"/>
    </row>
    <row r="5" spans="1:10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0">
      <c r="A6" s="13">
        <v>42000</v>
      </c>
      <c r="B6" s="13">
        <f>Tabela11014182226303438[ENTRADA]*3/100</f>
        <v>1260</v>
      </c>
      <c r="C6" s="13">
        <f>Tabela11014182226303438[ENTRADA]*10/100</f>
        <v>4200</v>
      </c>
      <c r="D6" s="11">
        <f>Tabela11014182226303438[ENTRADA]-(Tabela11014182226303438[INSS 3%]+Tabela11014182226303438[DIZIMO 10%])</f>
        <v>36540</v>
      </c>
      <c r="E6" s="8">
        <f>Tabela11014182226303438[Renda 87%]-(B13+B24+B35)</f>
        <v>5240</v>
      </c>
      <c r="F6" s="11"/>
      <c r="G6" s="11"/>
      <c r="H6" s="11"/>
      <c r="I6" s="7">
        <f>SUM(B13,B24,B35)</f>
        <v>31300</v>
      </c>
      <c r="J6" s="9">
        <f>Tabela11014182226303438[Sando Final]+I6</f>
        <v>36540</v>
      </c>
    </row>
    <row r="7" spans="1:10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</row>
    <row r="8" spans="1:10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</row>
    <row r="9" spans="1:10">
      <c r="A9" s="1" t="s">
        <v>59</v>
      </c>
      <c r="B9" s="10">
        <v>3000</v>
      </c>
      <c r="C9" s="1"/>
      <c r="D9" s="1"/>
      <c r="E9" s="1"/>
      <c r="F9" s="1"/>
      <c r="G9" s="1"/>
      <c r="H9" s="1"/>
      <c r="I9" s="1"/>
      <c r="J9" s="1"/>
    </row>
    <row r="10" spans="1:10">
      <c r="A10" s="1" t="s">
        <v>60</v>
      </c>
      <c r="B10" s="10">
        <v>500</v>
      </c>
      <c r="C10" s="1"/>
      <c r="D10" s="1"/>
      <c r="E10" s="1"/>
      <c r="F10" s="1"/>
      <c r="G10" s="1"/>
      <c r="H10" s="1"/>
      <c r="I10" s="1"/>
      <c r="J10" s="1"/>
    </row>
    <row r="11" spans="1:10">
      <c r="A11" s="1" t="s">
        <v>61</v>
      </c>
      <c r="B11" s="10">
        <v>1000</v>
      </c>
      <c r="C11" s="1"/>
      <c r="D11" s="1"/>
      <c r="E11" s="1"/>
      <c r="F11" s="1"/>
      <c r="G11" s="1"/>
      <c r="H11" s="1"/>
      <c r="I11" s="1"/>
      <c r="J11" s="1"/>
    </row>
    <row r="12" spans="1:10">
      <c r="A12" s="1" t="s">
        <v>67</v>
      </c>
      <c r="B12" s="10">
        <v>1000</v>
      </c>
      <c r="C12" s="1"/>
      <c r="D12" s="1"/>
      <c r="E12" s="1"/>
      <c r="F12" s="1"/>
      <c r="G12" s="1"/>
      <c r="H12" s="1"/>
      <c r="I12" s="1"/>
      <c r="J12" s="1"/>
    </row>
    <row r="13" spans="1:10">
      <c r="A13" s="2" t="s">
        <v>14</v>
      </c>
      <c r="B13" s="2">
        <f>SUM(B9:B12)</f>
        <v>5500</v>
      </c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4" t="s">
        <v>15</v>
      </c>
      <c r="B15" s="4" t="s">
        <v>10</v>
      </c>
      <c r="C15" s="1"/>
      <c r="D15" s="1"/>
      <c r="E15" s="1"/>
      <c r="F15" s="1"/>
      <c r="G15" s="1"/>
      <c r="H15" s="1"/>
      <c r="I15" s="1"/>
      <c r="J15" s="1"/>
    </row>
    <row r="16" spans="1:10">
      <c r="A16" s="1" t="s">
        <v>16</v>
      </c>
      <c r="B16" s="10">
        <v>5000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17</v>
      </c>
      <c r="B17" s="10">
        <v>1500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41</v>
      </c>
      <c r="B18" s="10">
        <v>1300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19</v>
      </c>
      <c r="B19" s="10">
        <v>500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68</v>
      </c>
      <c r="B20" s="10">
        <v>7000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20</v>
      </c>
      <c r="B21" s="10">
        <v>200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63</v>
      </c>
      <c r="B22" s="10">
        <v>1500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 t="s">
        <v>64</v>
      </c>
      <c r="B23" s="10">
        <v>1500</v>
      </c>
      <c r="C23" s="1"/>
      <c r="D23" s="1"/>
      <c r="E23" s="1"/>
      <c r="F23" s="1"/>
      <c r="G23" s="1"/>
      <c r="H23" s="1"/>
      <c r="I23" s="1"/>
      <c r="J23" s="1"/>
    </row>
    <row r="24" spans="1:10">
      <c r="A24" s="2" t="s">
        <v>14</v>
      </c>
      <c r="B24" s="2">
        <f>SUM(B16:B23)</f>
        <v>18500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5" t="s">
        <v>22</v>
      </c>
      <c r="B26" s="6" t="s">
        <v>10</v>
      </c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26</v>
      </c>
      <c r="B27" s="10">
        <v>3000</v>
      </c>
      <c r="C27" s="1"/>
      <c r="D27" s="1"/>
      <c r="E27" s="1"/>
      <c r="F27" s="1"/>
      <c r="G27" s="1"/>
      <c r="H27" s="1"/>
      <c r="I27" s="1"/>
      <c r="J27" s="1"/>
    </row>
    <row r="28" spans="1:10">
      <c r="A28" s="1" t="s">
        <v>23</v>
      </c>
      <c r="B28" s="10">
        <v>2000</v>
      </c>
      <c r="C28" s="1"/>
      <c r="D28" s="1"/>
      <c r="E28" s="1"/>
      <c r="F28" s="1"/>
      <c r="G28" s="1"/>
      <c r="H28" s="1"/>
      <c r="I28" s="1"/>
      <c r="J28" s="1"/>
    </row>
    <row r="29" spans="1:10">
      <c r="A29" s="1" t="s">
        <v>25</v>
      </c>
      <c r="B29" s="10">
        <v>500</v>
      </c>
      <c r="C29" s="1"/>
      <c r="D29" s="1"/>
      <c r="E29" s="1"/>
      <c r="F29" s="1"/>
      <c r="G29" s="1"/>
      <c r="H29" s="1"/>
      <c r="I29" s="1"/>
      <c r="J29" s="1"/>
    </row>
    <row r="30" spans="1:10">
      <c r="A30" s="1" t="s">
        <v>27</v>
      </c>
      <c r="B30" s="10">
        <v>500</v>
      </c>
      <c r="C30" s="1"/>
      <c r="D30" s="1"/>
      <c r="E30" s="1"/>
      <c r="F30" s="1"/>
      <c r="G30" s="1"/>
      <c r="H30" s="1"/>
      <c r="I30" s="1"/>
      <c r="J30" s="1"/>
    </row>
    <row r="31" spans="1:10">
      <c r="A31" s="1" t="s">
        <v>65</v>
      </c>
      <c r="B31" s="10">
        <v>500</v>
      </c>
      <c r="C31" s="1"/>
      <c r="D31" s="1"/>
      <c r="E31" s="1"/>
      <c r="F31" s="1"/>
      <c r="G31" s="1"/>
      <c r="H31" s="1"/>
      <c r="I31" s="1"/>
      <c r="J31" s="1"/>
    </row>
    <row r="32" spans="1:10">
      <c r="A32" s="1" t="s">
        <v>66</v>
      </c>
      <c r="B32" s="10">
        <v>200</v>
      </c>
      <c r="C32" s="1"/>
      <c r="D32" s="1"/>
      <c r="E32" s="1"/>
      <c r="F32" s="1"/>
      <c r="G32" s="1"/>
      <c r="H32" s="1"/>
      <c r="I32" s="1"/>
      <c r="J32" s="1"/>
    </row>
    <row r="33" spans="1:10">
      <c r="A33" s="1" t="s">
        <v>69</v>
      </c>
      <c r="B33" s="10">
        <v>100</v>
      </c>
      <c r="C33" s="1"/>
      <c r="D33" s="1"/>
      <c r="E33" s="1"/>
      <c r="F33" s="1"/>
      <c r="G33" s="1"/>
      <c r="H33" s="1"/>
      <c r="I33" s="1"/>
      <c r="J33" s="1"/>
    </row>
    <row r="34" spans="1:10">
      <c r="A34" s="1" t="s">
        <v>24</v>
      </c>
      <c r="B34" s="10">
        <v>500</v>
      </c>
      <c r="C34" s="1"/>
      <c r="D34" s="1"/>
      <c r="E34" s="1"/>
      <c r="F34" s="1"/>
      <c r="G34" s="1"/>
      <c r="H34" s="1"/>
      <c r="I34" s="1"/>
      <c r="J34" s="1"/>
    </row>
    <row r="35" spans="1:10">
      <c r="A35" s="2" t="s">
        <v>14</v>
      </c>
      <c r="B35" s="2">
        <f>SUM(B27:B34)</f>
        <v>7300</v>
      </c>
      <c r="C35" s="1"/>
      <c r="D35" s="1"/>
      <c r="E35" s="1"/>
      <c r="F35" s="1"/>
      <c r="G35" s="1"/>
      <c r="H35" s="1"/>
      <c r="I35" s="1"/>
      <c r="J35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5"/>
  <sheetViews>
    <sheetView topLeftCell="A31" zoomScaleNormal="100" workbookViewId="0">
      <selection activeCell="B10" sqref="B10"/>
    </sheetView>
  </sheetViews>
  <sheetFormatPr defaultRowHeight="15"/>
  <cols>
    <col min="1" max="1" width="29.7109375" customWidth="1"/>
    <col min="2" max="2" width="15.140625" customWidth="1"/>
    <col min="3" max="3" width="12.7109375" customWidth="1"/>
    <col min="4" max="4" width="15.140625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1" spans="1:10">
      <c r="B1" t="s">
        <v>36</v>
      </c>
    </row>
    <row r="2" spans="1:10">
      <c r="A2" s="36" t="s">
        <v>70</v>
      </c>
      <c r="B2" s="36"/>
    </row>
    <row r="3" spans="1:10">
      <c r="A3" s="36"/>
      <c r="B3" s="36"/>
      <c r="C3" s="37" t="s">
        <v>1</v>
      </c>
      <c r="D3" s="37"/>
      <c r="E3" s="37"/>
    </row>
    <row r="5" spans="1:10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0">
      <c r="A6" s="13">
        <v>42000</v>
      </c>
      <c r="B6" s="13">
        <f>Tabela1101418222630343842[ENTRADA]*3/100</f>
        <v>1260</v>
      </c>
      <c r="C6" s="13">
        <f>Tabela1101418222630343842[ENTRADA]*10/100</f>
        <v>4200</v>
      </c>
      <c r="D6" s="11">
        <f>Tabela1101418222630343842[ENTRADA]-(Tabela1101418222630343842[INSS 3%]+Tabela1101418222630343842[DIZIMO 10%])</f>
        <v>36540</v>
      </c>
      <c r="E6" s="8">
        <f>Tabela1101418222630343842[Renda 87%]-(B12+B23+B34)</f>
        <v>4640</v>
      </c>
      <c r="F6" s="11"/>
      <c r="G6" s="11"/>
      <c r="H6" s="11"/>
      <c r="I6" s="7">
        <f>SUM(B12,B23,B34)</f>
        <v>31900</v>
      </c>
      <c r="J6" s="9">
        <f>Tabela1101418222630343842[Sando Final]+I6</f>
        <v>36540</v>
      </c>
    </row>
    <row r="7" spans="1:10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</row>
    <row r="8" spans="1:10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</row>
    <row r="9" spans="1:10">
      <c r="A9" s="1" t="s">
        <v>71</v>
      </c>
      <c r="B9" s="10">
        <v>300</v>
      </c>
      <c r="C9" s="4"/>
      <c r="D9" s="1"/>
      <c r="E9" s="1"/>
      <c r="F9" s="1"/>
      <c r="G9" s="1"/>
      <c r="H9" s="1"/>
      <c r="I9" s="1"/>
      <c r="J9" s="1"/>
    </row>
    <row r="10" spans="1:10">
      <c r="A10" s="4" t="s">
        <v>72</v>
      </c>
      <c r="B10" s="15">
        <v>1500</v>
      </c>
      <c r="C10" s="1"/>
      <c r="D10" s="1"/>
      <c r="E10" s="1"/>
      <c r="F10" s="1"/>
      <c r="G10" s="1"/>
      <c r="H10" s="1"/>
      <c r="I10" s="1"/>
      <c r="J10" s="1"/>
    </row>
    <row r="11" spans="1:10">
      <c r="A11" s="1" t="s">
        <v>61</v>
      </c>
      <c r="B11" s="10">
        <v>1000</v>
      </c>
      <c r="C11" s="1"/>
      <c r="D11" s="1"/>
      <c r="E11" s="1"/>
      <c r="F11" s="1"/>
      <c r="G11" s="1"/>
      <c r="H11" s="1"/>
      <c r="I11" s="1"/>
      <c r="J11" s="1"/>
    </row>
    <row r="12" spans="1:10">
      <c r="A12" s="2" t="s">
        <v>14</v>
      </c>
      <c r="B12" s="2">
        <f>SUM(B9:B11)</f>
        <v>2800</v>
      </c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0">
      <c r="A15" s="1" t="s">
        <v>16</v>
      </c>
      <c r="B15" s="10">
        <v>5000</v>
      </c>
      <c r="C15" s="1"/>
      <c r="D15" s="1"/>
      <c r="E15" s="1"/>
      <c r="F15" s="1"/>
      <c r="G15" s="1"/>
      <c r="H15" s="1"/>
      <c r="I15" s="1"/>
      <c r="J15" s="1"/>
    </row>
    <row r="16" spans="1:10">
      <c r="A16" s="1" t="s">
        <v>17</v>
      </c>
      <c r="B16" s="10">
        <v>1500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41</v>
      </c>
      <c r="B17" s="10">
        <v>1300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0">
        <v>500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73</v>
      </c>
      <c r="B19" s="10">
        <v>10000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20</v>
      </c>
      <c r="B20" s="10">
        <v>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63</v>
      </c>
      <c r="B21" s="10">
        <v>1500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64</v>
      </c>
      <c r="B22" s="10">
        <v>1500</v>
      </c>
      <c r="C22" s="1"/>
      <c r="D22" s="1"/>
      <c r="E22" s="1"/>
      <c r="F22" s="1"/>
      <c r="G22" s="1"/>
      <c r="H22" s="1"/>
      <c r="I22" s="1"/>
      <c r="J22" s="1"/>
    </row>
    <row r="23" spans="1:10">
      <c r="A23" s="2" t="s">
        <v>14</v>
      </c>
      <c r="B23" s="2">
        <f>SUM(B15:B22)</f>
        <v>21800</v>
      </c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5" t="s">
        <v>22</v>
      </c>
      <c r="B25" s="6" t="s">
        <v>10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 t="s">
        <v>26</v>
      </c>
      <c r="B26" s="10">
        <v>3000</v>
      </c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23</v>
      </c>
      <c r="B27" s="10">
        <v>2000</v>
      </c>
      <c r="C27" s="1"/>
      <c r="D27" s="1"/>
      <c r="E27" s="1"/>
      <c r="F27" s="1"/>
      <c r="G27" s="1"/>
      <c r="H27" s="1"/>
      <c r="I27" s="1"/>
      <c r="J27" s="1"/>
    </row>
    <row r="28" spans="1:10">
      <c r="A28" s="1" t="s">
        <v>25</v>
      </c>
      <c r="B28" s="10">
        <v>500</v>
      </c>
      <c r="C28" s="1"/>
      <c r="D28" s="1"/>
      <c r="E28" s="1"/>
      <c r="F28" s="1"/>
      <c r="G28" s="1"/>
      <c r="H28" s="1"/>
      <c r="I28" s="1"/>
      <c r="J28" s="1"/>
    </row>
    <row r="29" spans="1:10">
      <c r="A29" s="1" t="s">
        <v>27</v>
      </c>
      <c r="B29" s="10">
        <v>500</v>
      </c>
      <c r="C29" s="1"/>
      <c r="D29" s="1"/>
      <c r="E29" s="1"/>
      <c r="F29" s="1"/>
      <c r="G29" s="1"/>
      <c r="H29" s="1"/>
      <c r="I29" s="1"/>
      <c r="J29" s="1"/>
    </row>
    <row r="30" spans="1:10">
      <c r="A30" s="1" t="s">
        <v>65</v>
      </c>
      <c r="B30" s="10">
        <v>500</v>
      </c>
      <c r="C30" s="1"/>
      <c r="D30" s="1"/>
      <c r="E30" s="1"/>
      <c r="F30" s="1"/>
      <c r="G30" s="1"/>
      <c r="H30" s="1"/>
      <c r="I30" s="1"/>
      <c r="J30" s="1"/>
    </row>
    <row r="31" spans="1:10">
      <c r="A31" s="1" t="s">
        <v>66</v>
      </c>
      <c r="B31" s="10">
        <v>200</v>
      </c>
      <c r="C31" s="1"/>
      <c r="D31" s="1"/>
      <c r="E31" s="1"/>
      <c r="F31" s="1"/>
      <c r="G31" s="1"/>
      <c r="H31" s="1"/>
      <c r="I31" s="1"/>
      <c r="J31" s="1"/>
    </row>
    <row r="32" spans="1:10">
      <c r="A32" s="1" t="s">
        <v>69</v>
      </c>
      <c r="B32" s="10">
        <v>100</v>
      </c>
      <c r="C32" s="1"/>
      <c r="D32" s="1"/>
      <c r="E32" s="1"/>
      <c r="F32" s="1"/>
      <c r="G32" s="1"/>
      <c r="H32" s="1"/>
      <c r="I32" s="1"/>
      <c r="J32" s="1"/>
    </row>
    <row r="33" spans="1:10">
      <c r="A33" s="1" t="s">
        <v>24</v>
      </c>
      <c r="B33" s="10">
        <v>500</v>
      </c>
      <c r="C33" s="1"/>
      <c r="D33" s="1"/>
      <c r="E33" s="1"/>
      <c r="F33" s="1"/>
      <c r="G33" s="1"/>
      <c r="H33" s="1"/>
      <c r="I33" s="1"/>
      <c r="J33" s="1"/>
    </row>
    <row r="34" spans="1:10">
      <c r="A34" s="2" t="s">
        <v>14</v>
      </c>
      <c r="B34" s="2">
        <f>SUM(B26:B33)</f>
        <v>7300</v>
      </c>
      <c r="C34" s="1"/>
      <c r="D34" s="1"/>
      <c r="E34" s="1"/>
      <c r="F34" s="1"/>
      <c r="G34" s="1"/>
      <c r="H34" s="1"/>
      <c r="I34" s="1"/>
      <c r="J34" s="1"/>
    </row>
    <row r="35" spans="1:10">
      <c r="C35" s="1"/>
      <c r="D35" s="1"/>
      <c r="E35" s="1"/>
      <c r="F35" s="1"/>
      <c r="G35" s="1"/>
      <c r="H35" s="1"/>
      <c r="I35" s="1"/>
      <c r="J35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5"/>
  <sheetViews>
    <sheetView topLeftCell="A2" zoomScaleNormal="100" workbookViewId="0">
      <selection activeCell="B12" sqref="B12"/>
    </sheetView>
  </sheetViews>
  <sheetFormatPr defaultRowHeight="15"/>
  <cols>
    <col min="1" max="1" width="29.7109375" customWidth="1"/>
    <col min="2" max="2" width="15.140625" customWidth="1"/>
    <col min="3" max="3" width="12.7109375" customWidth="1"/>
    <col min="4" max="4" width="15.140625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1" spans="1:10">
      <c r="B1" t="s">
        <v>36</v>
      </c>
    </row>
    <row r="2" spans="1:10">
      <c r="A2" s="36" t="s">
        <v>70</v>
      </c>
      <c r="B2" s="36"/>
    </row>
    <row r="3" spans="1:10">
      <c r="A3" s="36"/>
      <c r="B3" s="36"/>
      <c r="C3" s="37" t="s">
        <v>1</v>
      </c>
      <c r="D3" s="37"/>
      <c r="E3" s="37"/>
    </row>
    <row r="5" spans="1:10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0">
      <c r="A6" s="13">
        <v>42000</v>
      </c>
      <c r="B6" s="13">
        <f>Tabela110141822263034384246[ENTRADA]*3/100</f>
        <v>1260</v>
      </c>
      <c r="C6" s="13">
        <f>Tabela110141822263034384246[ENTRADA]*10/100</f>
        <v>4200</v>
      </c>
      <c r="D6" s="11">
        <f>Tabela110141822263034384246[ENTRADA]-(Tabela110141822263034384246[INSS 3%]+Tabela110141822263034384246[DIZIMO 10%])</f>
        <v>36540</v>
      </c>
      <c r="E6" s="8">
        <f>Tabela110141822263034384246[Renda 87%]-(B12+B23+B34)</f>
        <v>6740</v>
      </c>
      <c r="F6" s="11"/>
      <c r="G6" s="11"/>
      <c r="H6" s="11"/>
      <c r="I6" s="7">
        <f>SUM(B12,B23,B34)</f>
        <v>29800</v>
      </c>
      <c r="J6" s="9">
        <f>Tabela110141822263034384246[Sando Final]+I6</f>
        <v>36540</v>
      </c>
    </row>
    <row r="7" spans="1:10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</row>
    <row r="8" spans="1:10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</row>
    <row r="9" spans="1:10">
      <c r="A9" s="1" t="s">
        <v>71</v>
      </c>
      <c r="B9" s="10">
        <v>300</v>
      </c>
      <c r="C9" s="4"/>
      <c r="D9" s="1"/>
      <c r="E9" s="1"/>
      <c r="F9" s="1"/>
      <c r="G9" s="1"/>
      <c r="H9" s="1"/>
      <c r="I9" s="1"/>
      <c r="J9" s="1"/>
    </row>
    <row r="10" spans="1:10">
      <c r="A10" s="4"/>
      <c r="B10" s="15"/>
      <c r="C10" s="1"/>
      <c r="D10" s="1"/>
      <c r="E10" s="1"/>
      <c r="F10" s="1"/>
      <c r="G10" s="1"/>
      <c r="H10" s="1"/>
      <c r="I10" s="1"/>
      <c r="J10" s="1"/>
    </row>
    <row r="11" spans="1:10">
      <c r="A11" s="1" t="s">
        <v>74</v>
      </c>
      <c r="B11" s="10">
        <v>8000</v>
      </c>
      <c r="C11" s="1"/>
      <c r="D11" s="1"/>
      <c r="E11" s="1"/>
      <c r="F11" s="1"/>
      <c r="G11" s="1"/>
      <c r="H11" s="1"/>
      <c r="I11" s="1"/>
      <c r="J11" s="1"/>
    </row>
    <row r="12" spans="1:10">
      <c r="A12" s="2" t="s">
        <v>14</v>
      </c>
      <c r="B12" s="2">
        <f>SUM(B9:B11)</f>
        <v>8300</v>
      </c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0">
      <c r="A15" s="1" t="s">
        <v>16</v>
      </c>
      <c r="B15" s="10">
        <v>5000</v>
      </c>
      <c r="C15" s="1"/>
      <c r="D15" s="1"/>
      <c r="E15" s="1"/>
      <c r="F15" s="1"/>
      <c r="G15" s="1"/>
      <c r="H15" s="1"/>
      <c r="I15" s="1"/>
      <c r="J15" s="1"/>
    </row>
    <row r="16" spans="1:10">
      <c r="A16" s="1" t="s">
        <v>17</v>
      </c>
      <c r="B16" s="10">
        <v>1500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41</v>
      </c>
      <c r="B17" s="10">
        <v>1300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0">
        <v>500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75</v>
      </c>
      <c r="B19" s="10">
        <v>2500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20</v>
      </c>
      <c r="B20" s="10">
        <v>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63</v>
      </c>
      <c r="B21" s="10">
        <v>1500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64</v>
      </c>
      <c r="B22" s="10">
        <v>1500</v>
      </c>
      <c r="C22" s="1"/>
      <c r="D22" s="1"/>
      <c r="E22" s="1"/>
      <c r="F22" s="1"/>
      <c r="G22" s="1"/>
      <c r="H22" s="1"/>
      <c r="I22" s="1"/>
      <c r="J22" s="1"/>
    </row>
    <row r="23" spans="1:10">
      <c r="A23" s="2" t="s">
        <v>14</v>
      </c>
      <c r="B23" s="2">
        <f>SUM(B15:B22)</f>
        <v>14300</v>
      </c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5" t="s">
        <v>22</v>
      </c>
      <c r="B25" s="6" t="s">
        <v>10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 t="s">
        <v>26</v>
      </c>
      <c r="B26" s="10">
        <v>3000</v>
      </c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23</v>
      </c>
      <c r="B27" s="10">
        <v>2000</v>
      </c>
      <c r="C27" s="1"/>
      <c r="D27" s="1"/>
      <c r="E27" s="1"/>
      <c r="F27" s="1"/>
      <c r="G27" s="1"/>
      <c r="H27" s="1"/>
      <c r="I27" s="1"/>
      <c r="J27" s="1"/>
    </row>
    <row r="28" spans="1:10">
      <c r="A28" s="1" t="s">
        <v>25</v>
      </c>
      <c r="B28" s="10">
        <v>500</v>
      </c>
      <c r="C28" s="1"/>
      <c r="D28" s="1"/>
      <c r="E28" s="1"/>
      <c r="F28" s="1"/>
      <c r="G28" s="1"/>
      <c r="H28" s="1"/>
      <c r="I28" s="1"/>
      <c r="J28" s="1"/>
    </row>
    <row r="29" spans="1:10">
      <c r="A29" s="1" t="s">
        <v>27</v>
      </c>
      <c r="B29" s="10">
        <v>500</v>
      </c>
      <c r="C29" s="1"/>
      <c r="D29" s="1"/>
      <c r="E29" s="1"/>
      <c r="F29" s="1"/>
      <c r="G29" s="1"/>
      <c r="H29" s="1"/>
      <c r="I29" s="1"/>
      <c r="J29" s="1"/>
    </row>
    <row r="30" spans="1:10">
      <c r="A30" s="1" t="s">
        <v>65</v>
      </c>
      <c r="B30" s="10">
        <v>500</v>
      </c>
      <c r="C30" s="1"/>
      <c r="D30" s="1"/>
      <c r="E30" s="1"/>
      <c r="F30" s="1"/>
      <c r="G30" s="1"/>
      <c r="H30" s="1"/>
      <c r="I30" s="1"/>
      <c r="J30" s="1"/>
    </row>
    <row r="31" spans="1:10">
      <c r="A31" s="1" t="s">
        <v>66</v>
      </c>
      <c r="B31" s="10">
        <v>200</v>
      </c>
      <c r="C31" s="1"/>
      <c r="D31" s="1"/>
      <c r="E31" s="1"/>
      <c r="F31" s="1"/>
      <c r="G31" s="1"/>
      <c r="H31" s="1"/>
      <c r="I31" s="1"/>
      <c r="J31" s="1"/>
    </row>
    <row r="32" spans="1:10">
      <c r="A32" s="16" t="s">
        <v>69</v>
      </c>
      <c r="B32" s="16"/>
      <c r="C32" s="1"/>
      <c r="D32" s="1"/>
      <c r="E32" s="1"/>
      <c r="F32" s="1"/>
      <c r="G32" s="1"/>
      <c r="H32" s="1"/>
      <c r="I32" s="1"/>
      <c r="J32" s="1"/>
    </row>
    <row r="33" spans="1:10">
      <c r="A33" s="1" t="s">
        <v>24</v>
      </c>
      <c r="B33" s="10">
        <v>500</v>
      </c>
      <c r="C33" s="1"/>
      <c r="D33" s="1"/>
      <c r="E33" s="1"/>
      <c r="F33" s="1"/>
      <c r="G33" s="1"/>
      <c r="H33" s="1"/>
      <c r="I33" s="1"/>
      <c r="J33" s="1"/>
    </row>
    <row r="34" spans="1:10">
      <c r="A34" s="2" t="s">
        <v>14</v>
      </c>
      <c r="B34" s="2">
        <f>SUM(B26:B33)</f>
        <v>7200</v>
      </c>
      <c r="C34" s="1"/>
      <c r="D34" s="1"/>
      <c r="E34" s="1"/>
      <c r="F34" s="1"/>
      <c r="G34" s="1"/>
      <c r="H34" s="1"/>
      <c r="I34" s="1"/>
      <c r="J34" s="1"/>
    </row>
    <row r="35" spans="1:10">
      <c r="C35" s="1"/>
      <c r="D35" s="1"/>
      <c r="E35" s="1"/>
      <c r="F35" s="1"/>
      <c r="G35" s="1"/>
      <c r="H35" s="1"/>
      <c r="I35" s="1"/>
      <c r="J35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J38"/>
  <sheetViews>
    <sheetView zoomScaleNormal="100" workbookViewId="0">
      <selection activeCell="D31" sqref="D31"/>
    </sheetView>
  </sheetViews>
  <sheetFormatPr defaultRowHeight="15"/>
  <cols>
    <col min="1" max="1" width="29.7109375" customWidth="1"/>
    <col min="2" max="2" width="15.140625" customWidth="1"/>
    <col min="3" max="3" width="12.7109375" customWidth="1"/>
    <col min="4" max="4" width="32.5703125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0">
      <c r="A2" s="35">
        <v>44958</v>
      </c>
      <c r="B2" s="36"/>
    </row>
    <row r="3" spans="1:10">
      <c r="A3" s="36"/>
      <c r="B3" s="36"/>
      <c r="C3" s="37" t="s">
        <v>1</v>
      </c>
      <c r="D3" s="37"/>
      <c r="E3" s="37"/>
    </row>
    <row r="5" spans="1:10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0">
      <c r="A6" s="13">
        <v>42000</v>
      </c>
      <c r="B6" s="13">
        <f>Tabela11014182226303438424650[ENTRADA]*3/100</f>
        <v>1260</v>
      </c>
      <c r="C6" s="13">
        <f>Tabela11014182226303438424650[ENTRADA]*10/100</f>
        <v>4200</v>
      </c>
      <c r="D6" s="11">
        <f>Tabela11014182226303438424650[ENTRADA]-(Tabela11014182226303438424650[INSS 3%]+Tabela11014182226303438424650[DIZIMO 10%])</f>
        <v>36540</v>
      </c>
      <c r="E6" s="8">
        <f>Tabela11014182226303438424650[Renda 87%]-(B14+B24+B36)</f>
        <v>8065</v>
      </c>
      <c r="F6" s="11"/>
      <c r="G6" s="11"/>
      <c r="H6" s="11"/>
      <c r="I6" s="7">
        <f>SUM(B14,B24,B36)</f>
        <v>28475</v>
      </c>
      <c r="J6" s="9">
        <f>Tabela11014182226303438424650[Sando Final]+I6</f>
        <v>36540</v>
      </c>
    </row>
    <row r="7" spans="1:10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</row>
    <row r="8" spans="1:10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</row>
    <row r="9" spans="1:10">
      <c r="A9" s="1" t="s">
        <v>71</v>
      </c>
      <c r="B9" s="10">
        <v>75</v>
      </c>
      <c r="C9" s="4"/>
      <c r="D9" s="1"/>
      <c r="E9" s="1"/>
      <c r="F9" s="1"/>
      <c r="G9" s="1"/>
      <c r="H9" s="1"/>
      <c r="I9" s="1"/>
      <c r="J9" s="1"/>
    </row>
    <row r="10" spans="1:10">
      <c r="A10" s="4" t="s">
        <v>25</v>
      </c>
      <c r="B10" s="15">
        <v>2400</v>
      </c>
      <c r="C10" s="1"/>
      <c r="D10" s="1"/>
      <c r="E10" s="1"/>
      <c r="F10" s="1"/>
      <c r="G10" s="1"/>
      <c r="H10" s="1"/>
      <c r="I10" s="1"/>
      <c r="J10" s="1"/>
    </row>
    <row r="11" spans="1:10">
      <c r="A11" s="4" t="s">
        <v>76</v>
      </c>
      <c r="B11" s="15">
        <v>1500</v>
      </c>
      <c r="C11" s="1"/>
      <c r="D11" s="1"/>
      <c r="E11" s="1"/>
      <c r="F11" s="1"/>
      <c r="G11" s="1"/>
      <c r="H11" s="1"/>
      <c r="I11" s="1"/>
      <c r="J11" s="1"/>
    </row>
    <row r="12" spans="1:10">
      <c r="A12" s="4" t="s">
        <v>77</v>
      </c>
      <c r="B12" s="15">
        <v>500</v>
      </c>
      <c r="C12" s="1"/>
      <c r="D12" s="1"/>
      <c r="E12" s="1"/>
      <c r="F12" s="1"/>
      <c r="G12" s="1"/>
      <c r="H12" s="1"/>
      <c r="I12" s="1"/>
      <c r="J12" s="1"/>
    </row>
    <row r="13" spans="1:10">
      <c r="A13" s="1" t="s">
        <v>78</v>
      </c>
      <c r="B13" s="10">
        <v>1000</v>
      </c>
      <c r="C13" s="1"/>
      <c r="D13" s="1"/>
      <c r="E13" s="1"/>
      <c r="F13" s="1"/>
      <c r="G13" s="1"/>
      <c r="H13" s="1"/>
      <c r="I13" s="1"/>
      <c r="J13" s="1"/>
    </row>
    <row r="14" spans="1:10">
      <c r="A14" s="2" t="s">
        <v>14</v>
      </c>
      <c r="B14" s="2">
        <f>SUM(B9:B13)</f>
        <v>5475</v>
      </c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4" t="s">
        <v>15</v>
      </c>
      <c r="B16" s="4" t="s">
        <v>10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16</v>
      </c>
      <c r="B17" s="10">
        <v>5000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17</v>
      </c>
      <c r="B18" s="10">
        <v>3000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41</v>
      </c>
      <c r="B19" s="10">
        <v>1300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19</v>
      </c>
      <c r="B20" s="10">
        <v>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20</v>
      </c>
      <c r="B21" s="10">
        <v>400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63</v>
      </c>
      <c r="B22" s="10">
        <v>1500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 t="s">
        <v>64</v>
      </c>
      <c r="B23" s="10">
        <v>1500</v>
      </c>
      <c r="C23" s="1"/>
      <c r="D23" s="1"/>
      <c r="E23" s="1"/>
      <c r="F23" s="1"/>
      <c r="G23" s="1"/>
      <c r="H23" s="1"/>
      <c r="I23" s="1"/>
      <c r="J23" s="1"/>
    </row>
    <row r="24" spans="1:10">
      <c r="A24" s="2" t="s">
        <v>14</v>
      </c>
      <c r="B24" s="2">
        <f>SUM(B17:B23)</f>
        <v>13200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5" t="s">
        <v>22</v>
      </c>
      <c r="B26" s="6" t="s">
        <v>10</v>
      </c>
      <c r="C26" s="4" t="s">
        <v>79</v>
      </c>
      <c r="D26" s="1"/>
      <c r="E26" s="1"/>
      <c r="F26" s="1"/>
      <c r="G26" s="1"/>
      <c r="H26" s="1"/>
      <c r="I26" s="1"/>
      <c r="J26" s="1"/>
    </row>
    <row r="27" spans="1:10">
      <c r="A27" s="1" t="s">
        <v>26</v>
      </c>
      <c r="B27" s="10">
        <v>3000</v>
      </c>
      <c r="C27" s="18" t="s">
        <v>80</v>
      </c>
      <c r="D27" s="1"/>
      <c r="E27" s="1"/>
      <c r="F27" s="1"/>
      <c r="G27" s="1"/>
      <c r="H27" s="1"/>
      <c r="I27" s="1"/>
      <c r="J27" s="1"/>
    </row>
    <row r="28" spans="1:10">
      <c r="A28" s="1" t="s">
        <v>23</v>
      </c>
      <c r="B28" s="10">
        <v>2000</v>
      </c>
      <c r="C28" s="18" t="s">
        <v>80</v>
      </c>
      <c r="D28" s="1"/>
      <c r="E28" s="1"/>
      <c r="F28" s="1"/>
      <c r="G28" s="1"/>
      <c r="H28" s="1"/>
      <c r="I28" s="1"/>
      <c r="J28" s="1"/>
    </row>
    <row r="29" spans="1:10">
      <c r="A29" s="1" t="s">
        <v>25</v>
      </c>
      <c r="B29" s="10">
        <v>500</v>
      </c>
      <c r="C29" s="18" t="s">
        <v>80</v>
      </c>
      <c r="D29" s="1"/>
      <c r="E29" s="1"/>
      <c r="F29" s="1"/>
      <c r="G29" s="1"/>
      <c r="H29" s="1"/>
      <c r="I29" s="1"/>
      <c r="J29" s="1"/>
    </row>
    <row r="30" spans="1:10">
      <c r="A30" s="1" t="s">
        <v>27</v>
      </c>
      <c r="B30" s="10">
        <v>500</v>
      </c>
      <c r="C30" s="18" t="s">
        <v>80</v>
      </c>
      <c r="D30" s="1"/>
      <c r="E30" s="1"/>
      <c r="F30" s="1"/>
      <c r="G30" s="1"/>
      <c r="H30" s="1"/>
      <c r="I30" s="1"/>
      <c r="J30" s="1"/>
    </row>
    <row r="31" spans="1:10">
      <c r="A31" s="1" t="s">
        <v>65</v>
      </c>
      <c r="B31" s="10">
        <v>500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 t="s">
        <v>66</v>
      </c>
      <c r="B32" s="10">
        <v>1200</v>
      </c>
      <c r="C32" s="18" t="s">
        <v>80</v>
      </c>
      <c r="D32" s="1"/>
      <c r="E32" s="1"/>
      <c r="F32" s="1"/>
      <c r="G32" s="1"/>
      <c r="H32" s="1"/>
      <c r="I32" s="1"/>
      <c r="J32" s="1"/>
    </row>
    <row r="33" spans="1:10">
      <c r="A33" s="17" t="s">
        <v>28</v>
      </c>
      <c r="B33" s="15">
        <v>600</v>
      </c>
      <c r="C33" s="18"/>
      <c r="D33" s="1"/>
      <c r="E33" s="1"/>
      <c r="F33" s="1"/>
      <c r="G33" s="1"/>
      <c r="H33" s="1"/>
      <c r="I33" s="1"/>
      <c r="J33" s="1"/>
    </row>
    <row r="34" spans="1:10">
      <c r="A34" s="17" t="s">
        <v>13</v>
      </c>
      <c r="B34" s="15">
        <v>1000</v>
      </c>
      <c r="C34" s="18"/>
      <c r="D34" s="1"/>
      <c r="E34" s="1"/>
      <c r="F34" s="1"/>
      <c r="G34" s="1"/>
      <c r="H34" s="1"/>
      <c r="I34" s="1"/>
      <c r="J34" s="1"/>
    </row>
    <row r="35" spans="1:10">
      <c r="A35" s="1" t="s">
        <v>24</v>
      </c>
      <c r="B35" s="10">
        <v>500</v>
      </c>
      <c r="C35" s="18" t="s">
        <v>80</v>
      </c>
      <c r="D35" s="1"/>
      <c r="E35" s="1"/>
      <c r="F35" s="1"/>
      <c r="G35" s="1"/>
      <c r="H35" s="1"/>
      <c r="I35" s="1"/>
      <c r="J35" s="1"/>
    </row>
    <row r="36" spans="1:10">
      <c r="A36" s="2" t="s">
        <v>14</v>
      </c>
      <c r="B36" s="2">
        <f>SUM(B27:B35)</f>
        <v>9800</v>
      </c>
      <c r="C36" s="18"/>
      <c r="D36" s="1"/>
      <c r="E36" s="1"/>
      <c r="F36" s="1"/>
      <c r="G36" s="1"/>
      <c r="H36" s="1"/>
      <c r="I36" s="1"/>
      <c r="J36" s="1"/>
    </row>
    <row r="37" spans="1:10">
      <c r="C37" s="1"/>
      <c r="D37" s="1"/>
      <c r="E37" s="1"/>
      <c r="F37" s="1"/>
      <c r="G37" s="1"/>
      <c r="H37" s="1"/>
      <c r="I37" s="1"/>
      <c r="J37" s="1"/>
    </row>
    <row r="38" spans="1:10">
      <c r="C38" s="1"/>
      <c r="D38" s="1"/>
      <c r="E38" s="1"/>
      <c r="F38" s="1"/>
      <c r="G38" s="1"/>
      <c r="H38" s="1"/>
      <c r="I38" s="1"/>
      <c r="J38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J35"/>
  <sheetViews>
    <sheetView topLeftCell="A2" zoomScaleNormal="100" workbookViewId="0">
      <selection activeCell="D20" sqref="D20"/>
    </sheetView>
  </sheetViews>
  <sheetFormatPr defaultRowHeight="15"/>
  <cols>
    <col min="1" max="1" width="29.7109375" customWidth="1"/>
    <col min="2" max="2" width="15.140625" customWidth="1"/>
    <col min="3" max="3" width="12.7109375" customWidth="1"/>
    <col min="4" max="4" width="32.5703125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0">
      <c r="A2" s="35">
        <v>44986</v>
      </c>
      <c r="B2" s="36"/>
    </row>
    <row r="3" spans="1:10">
      <c r="A3" s="36"/>
      <c r="B3" s="36"/>
      <c r="C3" s="37" t="s">
        <v>1</v>
      </c>
      <c r="D3" s="37"/>
      <c r="E3" s="37"/>
    </row>
    <row r="5" spans="1:10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0">
      <c r="A6" s="13">
        <v>42000</v>
      </c>
      <c r="B6" s="13">
        <f>Tabela1101418222630343842465054[ENTRADA]*3/100</f>
        <v>1260</v>
      </c>
      <c r="C6" s="13">
        <f>Tabela1101418222630343842465054[ENTRADA]*10/100</f>
        <v>4200</v>
      </c>
      <c r="D6" s="11">
        <f>Tabela1101418222630343842465054[ENTRADA]-(Tabela1101418222630343842465054[INSS 3%]+Tabela1101418222630343842465054[DIZIMO 10%])</f>
        <v>36540</v>
      </c>
      <c r="E6" s="8">
        <f>Tabela1101418222630343842465054[Renda 87%]-(B12+B22+B33)</f>
        <v>6940</v>
      </c>
      <c r="F6" s="11"/>
      <c r="G6" s="11"/>
      <c r="H6" s="11"/>
      <c r="I6" s="7">
        <f>SUM(B12,B22,B33)</f>
        <v>29600</v>
      </c>
      <c r="J6" s="9">
        <f>Tabela1101418222630343842465054[Sando Final]+I6</f>
        <v>36540</v>
      </c>
    </row>
    <row r="7" spans="1:10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</row>
    <row r="8" spans="1:10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</row>
    <row r="9" spans="1:10">
      <c r="A9" s="4" t="s">
        <v>81</v>
      </c>
      <c r="B9" s="15">
        <v>3100</v>
      </c>
      <c r="C9" s="1"/>
      <c r="D9" s="1"/>
      <c r="E9" s="1"/>
      <c r="F9" s="1"/>
      <c r="G9" s="1"/>
      <c r="H9" s="1"/>
      <c r="I9" s="1"/>
      <c r="J9" s="1"/>
    </row>
    <row r="10" spans="1:10">
      <c r="A10" s="4" t="s">
        <v>82</v>
      </c>
      <c r="B10" s="15">
        <v>3000</v>
      </c>
      <c r="C10" s="1"/>
      <c r="D10" s="1"/>
      <c r="E10" s="1"/>
      <c r="F10" s="1"/>
      <c r="G10" s="1"/>
      <c r="H10" s="1"/>
      <c r="I10" s="1"/>
      <c r="J10" s="1"/>
    </row>
    <row r="11" spans="1:10">
      <c r="A11" s="4" t="s">
        <v>76</v>
      </c>
      <c r="B11" s="15">
        <v>1000</v>
      </c>
      <c r="C11" s="1"/>
      <c r="D11" s="1"/>
      <c r="E11" s="1"/>
      <c r="F11" s="1"/>
      <c r="G11" s="1"/>
      <c r="H11" s="1"/>
      <c r="I11" s="1"/>
      <c r="J11" s="1"/>
    </row>
    <row r="12" spans="1:10">
      <c r="A12" s="2" t="s">
        <v>14</v>
      </c>
      <c r="B12" s="2">
        <f>SUM(B9:B11)</f>
        <v>7100</v>
      </c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0">
      <c r="A15" s="1" t="s">
        <v>16</v>
      </c>
      <c r="B15" s="10">
        <v>5000</v>
      </c>
      <c r="C15" s="1"/>
      <c r="D15" s="1"/>
      <c r="E15" s="1"/>
      <c r="F15" s="1"/>
      <c r="G15" s="1"/>
      <c r="H15" s="1"/>
      <c r="I15" s="1"/>
      <c r="J15" s="1"/>
    </row>
    <row r="16" spans="1:10">
      <c r="A16" s="1" t="s">
        <v>17</v>
      </c>
      <c r="B16" s="10">
        <v>1500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41</v>
      </c>
      <c r="B17" s="10">
        <v>1300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0">
        <v>500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20</v>
      </c>
      <c r="B19" s="10">
        <v>400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63</v>
      </c>
      <c r="B20" s="10">
        <v>5000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64</v>
      </c>
      <c r="B21" s="10">
        <v>1500</v>
      </c>
      <c r="C21" s="1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SUM(B15:B21)</f>
        <v>15200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4" t="s">
        <v>79</v>
      </c>
      <c r="D24" s="1"/>
      <c r="E24" s="1"/>
      <c r="F24" s="1"/>
      <c r="G24" s="1"/>
      <c r="H24" s="1"/>
      <c r="I24" s="1"/>
      <c r="J24" s="1"/>
    </row>
    <row r="25" spans="1:10">
      <c r="A25" s="1" t="s">
        <v>26</v>
      </c>
      <c r="B25" s="10">
        <v>3000</v>
      </c>
      <c r="C25" s="18" t="s">
        <v>80</v>
      </c>
      <c r="D25" s="1"/>
      <c r="E25" s="1"/>
      <c r="F25" s="1"/>
      <c r="G25" s="1"/>
      <c r="H25" s="1"/>
      <c r="I25" s="1"/>
      <c r="J25" s="1"/>
    </row>
    <row r="26" spans="1:10">
      <c r="A26" s="1" t="s">
        <v>23</v>
      </c>
      <c r="B26" s="10">
        <v>2000</v>
      </c>
      <c r="C26" s="18" t="s">
        <v>80</v>
      </c>
      <c r="D26" s="1"/>
      <c r="E26" s="1"/>
      <c r="F26" s="1"/>
      <c r="G26" s="1"/>
      <c r="H26" s="1"/>
      <c r="I26" s="1"/>
      <c r="J26" s="1"/>
    </row>
    <row r="27" spans="1:10">
      <c r="A27" s="1" t="s">
        <v>25</v>
      </c>
      <c r="B27" s="10">
        <v>500</v>
      </c>
      <c r="C27" s="18" t="s">
        <v>80</v>
      </c>
      <c r="D27" s="1"/>
      <c r="E27" s="1"/>
      <c r="F27" s="1"/>
      <c r="G27" s="1"/>
      <c r="H27" s="1"/>
      <c r="I27" s="1"/>
      <c r="J27" s="1"/>
    </row>
    <row r="28" spans="1:10">
      <c r="A28" s="1" t="s">
        <v>27</v>
      </c>
      <c r="B28" s="10">
        <v>500</v>
      </c>
      <c r="C28" s="18" t="s">
        <v>80</v>
      </c>
      <c r="D28" s="1"/>
      <c r="E28" s="1"/>
      <c r="F28" s="1"/>
      <c r="G28" s="1"/>
      <c r="H28" s="1"/>
      <c r="I28" s="1"/>
      <c r="J28" s="1"/>
    </row>
    <row r="29" spans="1:10">
      <c r="A29" s="1" t="s">
        <v>65</v>
      </c>
      <c r="B29" s="10">
        <v>500</v>
      </c>
      <c r="C29" s="18"/>
      <c r="D29" s="1"/>
      <c r="E29" s="1"/>
      <c r="F29" s="1"/>
      <c r="G29" s="1"/>
      <c r="H29" s="1"/>
      <c r="I29" s="1"/>
      <c r="J29" s="1"/>
    </row>
    <row r="30" spans="1:10">
      <c r="A30" s="1" t="s">
        <v>66</v>
      </c>
      <c r="B30" s="10">
        <v>200</v>
      </c>
      <c r="C30" s="18" t="s">
        <v>80</v>
      </c>
      <c r="D30" s="1"/>
      <c r="E30" s="1"/>
      <c r="F30" s="1"/>
      <c r="G30" s="1"/>
      <c r="H30" s="1"/>
      <c r="I30" s="1"/>
      <c r="J30" s="1"/>
    </row>
    <row r="31" spans="1:10">
      <c r="A31" s="17" t="s">
        <v>28</v>
      </c>
      <c r="B31" s="15">
        <v>100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 t="s">
        <v>24</v>
      </c>
      <c r="B32" s="10">
        <v>500</v>
      </c>
      <c r="C32" s="18" t="s">
        <v>80</v>
      </c>
      <c r="D32" s="1"/>
      <c r="E32" s="1"/>
      <c r="F32" s="1"/>
      <c r="G32" s="1"/>
      <c r="H32" s="1"/>
      <c r="I32" s="1"/>
      <c r="J32" s="1"/>
    </row>
    <row r="33" spans="1:10">
      <c r="A33" s="2" t="s">
        <v>14</v>
      </c>
      <c r="B33" s="2">
        <f>SUM(B25:B32)</f>
        <v>7300</v>
      </c>
      <c r="C33" s="18"/>
      <c r="D33" s="1"/>
      <c r="E33" s="1"/>
      <c r="F33" s="1"/>
      <c r="G33" s="1"/>
      <c r="H33" s="1"/>
      <c r="I33" s="1"/>
      <c r="J33" s="1"/>
    </row>
    <row r="34" spans="1:10">
      <c r="C34" s="1"/>
      <c r="D34" s="1"/>
      <c r="E34" s="1"/>
      <c r="F34" s="1"/>
      <c r="G34" s="1"/>
      <c r="H34" s="1"/>
      <c r="I34" s="1"/>
      <c r="J34" s="1"/>
    </row>
    <row r="35" spans="1:10">
      <c r="C35" s="1"/>
      <c r="D35" s="1"/>
      <c r="E35" s="1"/>
      <c r="F35" s="1"/>
      <c r="G35" s="1"/>
      <c r="H35" s="1"/>
      <c r="I35" s="1"/>
      <c r="J35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L33"/>
  <sheetViews>
    <sheetView topLeftCell="A4" zoomScaleNormal="100" workbookViewId="0">
      <selection activeCell="C28" sqref="C28"/>
    </sheetView>
  </sheetViews>
  <sheetFormatPr defaultRowHeight="15"/>
  <cols>
    <col min="1" max="1" width="29.7109375" customWidth="1"/>
    <col min="2" max="2" width="15.140625" customWidth="1"/>
    <col min="3" max="3" width="12.7109375" customWidth="1"/>
    <col min="4" max="4" width="32.5703125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v>44986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v>42000</v>
      </c>
      <c r="B6" s="13">
        <f>Tabela110141822263034384246505458[ENTRADA]*3/100</f>
        <v>1260</v>
      </c>
      <c r="C6" s="13">
        <f>Tabela110141822263034384246505458[ENTRADA]*10/100</f>
        <v>4200</v>
      </c>
      <c r="D6" s="11">
        <f>Tabela110141822263034384246505458[ENTRADA]-(Tabela110141822263034384246505458[INSS 3%]+Tabela110141822263034384246505458[DIZIMO 10%])</f>
        <v>36540</v>
      </c>
      <c r="E6" s="8">
        <f>Tabela110141822263034384246505458[Renda 87%]-(B12+B22+B31)</f>
        <v>7640</v>
      </c>
      <c r="F6" s="11"/>
      <c r="G6" s="11"/>
      <c r="H6" s="11"/>
      <c r="I6" s="7">
        <f>SUM(B12,B22,B31)</f>
        <v>28900</v>
      </c>
      <c r="J6" s="9">
        <f>Tabela110141822263034384246505458[Sando Final]+I6</f>
        <v>36540</v>
      </c>
    </row>
    <row r="7" spans="1:12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  <c r="L8" s="19"/>
    </row>
    <row r="9" spans="1:12">
      <c r="A9" s="4" t="s">
        <v>83</v>
      </c>
      <c r="B9" s="15">
        <v>10000</v>
      </c>
      <c r="C9" s="1"/>
      <c r="D9" s="1"/>
      <c r="E9" s="1"/>
      <c r="F9" s="1"/>
      <c r="G9" s="1"/>
      <c r="H9" s="1"/>
      <c r="I9" s="1"/>
      <c r="J9" s="1"/>
      <c r="L9" s="19"/>
    </row>
    <row r="10" spans="1:12">
      <c r="A10" s="4"/>
      <c r="B10" s="15"/>
      <c r="C10" s="1"/>
      <c r="D10" s="1"/>
      <c r="E10" s="1"/>
      <c r="F10" s="1"/>
      <c r="G10" s="1"/>
      <c r="H10" s="1"/>
      <c r="I10" s="1"/>
      <c r="J10" s="1"/>
    </row>
    <row r="11" spans="1:12">
      <c r="A11" s="4"/>
      <c r="B11" s="15"/>
      <c r="C11" s="1"/>
      <c r="D11" s="1"/>
      <c r="E11" s="1"/>
      <c r="F11" s="1"/>
      <c r="G11" s="1"/>
      <c r="H11" s="1"/>
      <c r="I11" s="1"/>
      <c r="J11" s="1"/>
    </row>
    <row r="12" spans="1:12">
      <c r="A12" s="2" t="s">
        <v>14</v>
      </c>
      <c r="B12" s="2">
        <f>SUM(B9:B11)</f>
        <v>10000</v>
      </c>
      <c r="C12" s="1"/>
      <c r="D12" s="1"/>
      <c r="E12" s="1"/>
      <c r="F12" s="1"/>
      <c r="G12" s="1"/>
      <c r="H12" s="1"/>
      <c r="I12" s="1"/>
      <c r="J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2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2">
      <c r="A15" s="1" t="s">
        <v>16</v>
      </c>
      <c r="B15" s="10">
        <v>5000</v>
      </c>
      <c r="C15" s="1"/>
      <c r="D15" s="1"/>
      <c r="E15" s="1"/>
      <c r="F15" s="1"/>
      <c r="G15" s="1"/>
      <c r="H15" s="1"/>
      <c r="I15" s="1"/>
      <c r="J15" s="1"/>
    </row>
    <row r="16" spans="1:12">
      <c r="A16" s="1" t="s">
        <v>17</v>
      </c>
      <c r="B16" s="10">
        <v>1500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41</v>
      </c>
      <c r="B17" s="10">
        <v>1300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0">
        <v>500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20</v>
      </c>
      <c r="B19" s="10">
        <v>400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63</v>
      </c>
      <c r="B20" s="10">
        <v>1500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64</v>
      </c>
      <c r="B21" s="10">
        <v>1500</v>
      </c>
      <c r="C21" s="1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SUM(B15:B21)</f>
        <v>11700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4" t="s">
        <v>79</v>
      </c>
      <c r="D24" s="1"/>
      <c r="E24" s="1"/>
      <c r="F24" s="1"/>
      <c r="G24" s="1"/>
      <c r="H24" s="1"/>
      <c r="I24" s="1"/>
      <c r="J24" s="1"/>
    </row>
    <row r="25" spans="1:10">
      <c r="A25" s="1" t="s">
        <v>26</v>
      </c>
      <c r="B25" s="10">
        <v>3000</v>
      </c>
      <c r="C25" s="18" t="s">
        <v>80</v>
      </c>
      <c r="D25" s="1"/>
      <c r="E25" s="1"/>
      <c r="F25" s="1"/>
      <c r="G25" s="1"/>
      <c r="H25" s="1"/>
      <c r="I25" s="1"/>
      <c r="J25" s="1"/>
    </row>
    <row r="26" spans="1:10">
      <c r="A26" s="1" t="s">
        <v>23</v>
      </c>
      <c r="B26" s="10">
        <v>2000</v>
      </c>
      <c r="C26" s="18" t="s">
        <v>80</v>
      </c>
      <c r="D26" s="1"/>
      <c r="E26" s="1"/>
      <c r="F26" s="1"/>
      <c r="G26" s="1"/>
      <c r="H26" s="1"/>
      <c r="I26" s="1"/>
      <c r="J26" s="1"/>
    </row>
    <row r="27" spans="1:10">
      <c r="A27" s="1" t="s">
        <v>27</v>
      </c>
      <c r="B27" s="10">
        <v>1000</v>
      </c>
      <c r="C27" s="18" t="s">
        <v>80</v>
      </c>
      <c r="D27" s="1"/>
      <c r="E27" s="1"/>
      <c r="F27" s="1"/>
      <c r="G27" s="1"/>
      <c r="H27" s="1"/>
      <c r="I27" s="1"/>
      <c r="J27" s="1"/>
    </row>
    <row r="28" spans="1:10">
      <c r="A28" s="1" t="s">
        <v>65</v>
      </c>
      <c r="B28" s="10">
        <v>500</v>
      </c>
      <c r="C28" s="18"/>
      <c r="D28" s="1"/>
      <c r="E28" s="1"/>
      <c r="F28" s="1"/>
      <c r="G28" s="1"/>
      <c r="H28" s="1"/>
      <c r="I28" s="1"/>
      <c r="J28" s="1"/>
    </row>
    <row r="29" spans="1:10">
      <c r="A29" s="1" t="s">
        <v>66</v>
      </c>
      <c r="B29" s="10">
        <v>200</v>
      </c>
      <c r="C29" s="18" t="s">
        <v>80</v>
      </c>
      <c r="D29" s="1"/>
      <c r="E29" s="1"/>
      <c r="F29" s="1"/>
      <c r="G29" s="1"/>
      <c r="H29" s="1"/>
      <c r="I29" s="1"/>
      <c r="J29" s="1"/>
    </row>
    <row r="30" spans="1:10">
      <c r="A30" s="1" t="s">
        <v>24</v>
      </c>
      <c r="B30" s="10">
        <v>500</v>
      </c>
      <c r="C30" s="18" t="s">
        <v>80</v>
      </c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SUM(B25:B30)</f>
        <v>7200</v>
      </c>
      <c r="C31" s="18"/>
      <c r="D31" s="1"/>
      <c r="E31" s="1"/>
      <c r="F31" s="1"/>
      <c r="G31" s="1"/>
      <c r="H31" s="1"/>
      <c r="I31" s="1"/>
      <c r="J31" s="1"/>
    </row>
    <row r="32" spans="1:10">
      <c r="C32" s="1"/>
      <c r="D32" s="1"/>
      <c r="E32" s="1"/>
      <c r="F32" s="1"/>
      <c r="G32" s="1"/>
      <c r="H32" s="1"/>
      <c r="I32" s="1"/>
      <c r="J32" s="1"/>
    </row>
    <row r="33" spans="3:10">
      <c r="C33" s="1"/>
      <c r="D33" s="1"/>
      <c r="E33" s="1"/>
      <c r="F33" s="1"/>
      <c r="G33" s="1"/>
      <c r="H33" s="1"/>
      <c r="I33" s="1"/>
      <c r="J33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L33"/>
  <sheetViews>
    <sheetView topLeftCell="A10" zoomScale="130" zoomScaleNormal="130" workbookViewId="0">
      <selection activeCell="C42" sqref="C42"/>
    </sheetView>
  </sheetViews>
  <sheetFormatPr defaultRowHeight="15"/>
  <cols>
    <col min="1" max="1" width="21.85546875" customWidth="1"/>
    <col min="2" max="2" width="20.7109375" customWidth="1"/>
    <col min="3" max="3" width="16.28515625" bestFit="1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 t="e">
        <f ca="1">DATE(ano,mês,dia)</f>
        <v>#NAME?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42000+2700+1500</f>
        <v>46200</v>
      </c>
      <c r="B6" s="13">
        <f>Tabela11014182226303438424650545862[ENTRADA]*3/100</f>
        <v>1386</v>
      </c>
      <c r="C6" s="13">
        <f>Tabela11014182226303438424650545862[ENTRADA]*10/100</f>
        <v>4620</v>
      </c>
      <c r="D6" s="11">
        <f>Tabela11014182226303438424650545862[ENTRADA]-(Tabela11014182226303438424650545862[INSS 3%]+Tabela11014182226303438424650545862[DIZIMO 10%])</f>
        <v>40194</v>
      </c>
      <c r="E6" s="8">
        <f>Tabela11014182226303438424650545862[Renda 87%]-(B12+B22+B31)</f>
        <v>8044</v>
      </c>
      <c r="F6" s="11"/>
      <c r="G6" s="11"/>
      <c r="H6" s="11"/>
      <c r="I6" s="7">
        <f>SUM(B12,B22,B31)</f>
        <v>32150</v>
      </c>
      <c r="J6" s="9">
        <f>Tabela11014182226303438424650545862[Sando Final]+I6</f>
        <v>40194</v>
      </c>
    </row>
    <row r="7" spans="1:12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  <c r="L8" s="19"/>
    </row>
    <row r="9" spans="1:12">
      <c r="A9" s="4" t="s">
        <v>84</v>
      </c>
      <c r="B9" s="15">
        <v>10000</v>
      </c>
      <c r="C9" s="1"/>
      <c r="D9" s="1"/>
      <c r="E9" s="1"/>
      <c r="F9" s="1"/>
      <c r="G9" s="1"/>
      <c r="H9" s="1"/>
      <c r="I9" s="1"/>
      <c r="J9" s="1"/>
      <c r="L9" s="19"/>
    </row>
    <row r="10" spans="1:12">
      <c r="A10" s="4" t="s">
        <v>9</v>
      </c>
      <c r="B10" s="15">
        <v>3250</v>
      </c>
      <c r="C10" s="1"/>
      <c r="D10" s="1"/>
      <c r="E10" s="1"/>
      <c r="F10" s="1"/>
      <c r="G10" s="1"/>
      <c r="H10" s="1"/>
      <c r="I10" s="1"/>
      <c r="J10" s="1"/>
    </row>
    <row r="11" spans="1:12">
      <c r="A11" s="4"/>
      <c r="B11" s="15"/>
      <c r="C11" s="1"/>
      <c r="D11" s="1"/>
      <c r="E11" s="1"/>
      <c r="F11" s="1"/>
      <c r="G11" s="1"/>
      <c r="H11" s="1"/>
      <c r="I11" s="1"/>
      <c r="J11" s="1"/>
    </row>
    <row r="12" spans="1:12">
      <c r="A12" s="2" t="s">
        <v>14</v>
      </c>
      <c r="B12" s="2">
        <f>SUM(B9:B11)</f>
        <v>13250</v>
      </c>
      <c r="C12" s="1"/>
      <c r="D12" s="1"/>
      <c r="E12" s="1"/>
      <c r="F12" s="1"/>
      <c r="G12" s="1"/>
      <c r="H12" s="1"/>
      <c r="I12" s="1"/>
      <c r="J12" s="1"/>
    </row>
    <row r="13" spans="1:12">
      <c r="A13" s="1"/>
      <c r="B13" s="20"/>
      <c r="C13" s="1"/>
      <c r="D13" s="1"/>
      <c r="E13" s="1"/>
      <c r="F13" s="1"/>
      <c r="G13" s="1"/>
      <c r="H13" s="1"/>
      <c r="I13" s="1"/>
      <c r="J13" s="1"/>
    </row>
    <row r="14" spans="1:12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2">
      <c r="A15" s="1" t="s">
        <v>16</v>
      </c>
      <c r="B15" s="10">
        <v>5000</v>
      </c>
      <c r="C15" s="1"/>
      <c r="D15" s="1"/>
      <c r="E15" s="1"/>
      <c r="F15" s="1"/>
      <c r="G15" s="1"/>
      <c r="H15" s="1"/>
      <c r="I15" s="1"/>
      <c r="J15" s="1"/>
    </row>
    <row r="16" spans="1:12">
      <c r="A16" s="1" t="s">
        <v>17</v>
      </c>
      <c r="B16" s="10">
        <v>1500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41</v>
      </c>
      <c r="B17" s="10">
        <v>1300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0">
        <v>500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20</v>
      </c>
      <c r="B19" s="10">
        <v>400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63</v>
      </c>
      <c r="B20" s="10">
        <v>1500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64</v>
      </c>
      <c r="B21" s="10">
        <v>1500</v>
      </c>
      <c r="C21" s="1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SUM(B15:B21)</f>
        <v>11700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4" t="s">
        <v>79</v>
      </c>
      <c r="D24" s="1"/>
      <c r="E24" s="1"/>
      <c r="F24" s="1"/>
      <c r="G24" s="1"/>
      <c r="H24" s="1"/>
      <c r="I24" s="1"/>
      <c r="J24" s="1"/>
    </row>
    <row r="25" spans="1:10">
      <c r="A25" s="1" t="s">
        <v>26</v>
      </c>
      <c r="B25" s="10">
        <v>3000</v>
      </c>
      <c r="C25" s="18" t="s">
        <v>80</v>
      </c>
      <c r="D25" s="1"/>
      <c r="E25" s="1"/>
      <c r="F25" s="1"/>
      <c r="G25" s="1"/>
      <c r="H25" s="1"/>
      <c r="I25" s="1"/>
      <c r="J25" s="1"/>
    </row>
    <row r="26" spans="1:10">
      <c r="A26" s="1" t="s">
        <v>23</v>
      </c>
      <c r="B26" s="10">
        <v>2000</v>
      </c>
      <c r="C26" s="18" t="s">
        <v>80</v>
      </c>
      <c r="D26" s="1"/>
      <c r="E26" s="1"/>
      <c r="F26" s="1"/>
      <c r="G26" s="1"/>
      <c r="H26" s="1"/>
      <c r="I26" s="1"/>
      <c r="J26" s="1"/>
    </row>
    <row r="27" spans="1:10">
      <c r="A27" s="1" t="s">
        <v>27</v>
      </c>
      <c r="B27" s="10">
        <v>1000</v>
      </c>
      <c r="C27" s="18" t="s">
        <v>80</v>
      </c>
      <c r="D27" s="1"/>
      <c r="E27" s="1"/>
      <c r="F27" s="1"/>
      <c r="G27" s="1"/>
      <c r="H27" s="1"/>
      <c r="I27" s="1"/>
      <c r="J27" s="1"/>
    </row>
    <row r="28" spans="1:10">
      <c r="A28" s="1" t="s">
        <v>65</v>
      </c>
      <c r="B28" s="10">
        <v>500</v>
      </c>
      <c r="C28" s="18"/>
      <c r="D28" s="1"/>
      <c r="E28" s="1"/>
      <c r="F28" s="1"/>
      <c r="G28" s="1"/>
      <c r="H28" s="1"/>
      <c r="I28" s="1"/>
      <c r="J28" s="1"/>
    </row>
    <row r="29" spans="1:10">
      <c r="A29" s="1" t="s">
        <v>66</v>
      </c>
      <c r="B29" s="10">
        <v>200</v>
      </c>
      <c r="C29" s="18" t="s">
        <v>80</v>
      </c>
      <c r="D29" s="1"/>
      <c r="E29" s="1"/>
      <c r="F29" s="1"/>
      <c r="G29" s="1"/>
      <c r="H29" s="1"/>
      <c r="I29" s="1"/>
      <c r="J29" s="1"/>
    </row>
    <row r="30" spans="1:10">
      <c r="A30" s="1" t="s">
        <v>24</v>
      </c>
      <c r="B30" s="10">
        <v>500</v>
      </c>
      <c r="C30" s="18" t="s">
        <v>80</v>
      </c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SUM(B25:B30)</f>
        <v>7200</v>
      </c>
      <c r="C31" s="18"/>
      <c r="D31" s="1"/>
      <c r="E31" s="1"/>
      <c r="F31" s="1"/>
      <c r="G31" s="1"/>
      <c r="H31" s="1"/>
      <c r="I31" s="1"/>
      <c r="J31" s="1"/>
    </row>
    <row r="32" spans="1:10">
      <c r="C32" s="1"/>
      <c r="D32" s="1"/>
      <c r="E32" s="1"/>
      <c r="F32" s="1"/>
      <c r="G32" s="1"/>
      <c r="H32" s="1"/>
      <c r="I32" s="1"/>
      <c r="J32" s="1"/>
    </row>
    <row r="33" spans="3:10">
      <c r="C33" s="1"/>
      <c r="D33" s="1"/>
      <c r="E33" s="1"/>
      <c r="F33" s="1"/>
      <c r="G33" s="1"/>
      <c r="H33" s="1"/>
      <c r="I33" s="1"/>
      <c r="J33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L33"/>
  <sheetViews>
    <sheetView topLeftCell="A9" zoomScale="130" zoomScaleNormal="130" workbookViewId="0">
      <selection activeCell="E8" sqref="E8"/>
    </sheetView>
  </sheetViews>
  <sheetFormatPr defaultRowHeight="15"/>
  <cols>
    <col min="1" max="1" width="21.85546875" customWidth="1"/>
    <col min="2" max="2" width="20.7109375" customWidth="1"/>
    <col min="3" max="3" width="16.28515625" bestFit="1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 t="e">
        <f ca="1">DATE(ano,mês,dia)</f>
        <v>#NAME?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42000+2700+1500</f>
        <v>46200</v>
      </c>
      <c r="B6" s="13">
        <f>Tabela1101418222630343842465054586266[ENTRADA]*3/100</f>
        <v>1386</v>
      </c>
      <c r="C6" s="13">
        <f>Tabela1101418222630343842465054586266[ENTRADA]*10/100</f>
        <v>4620</v>
      </c>
      <c r="D6" s="11">
        <f>Tabela1101418222630343842465054586266[ENTRADA]-(Tabela1101418222630343842465054586266[INSS 3%]+Tabela1101418222630343842465054586266[DIZIMO 10%])</f>
        <v>40194</v>
      </c>
      <c r="E6" s="8">
        <f>Tabela1101418222630343842465054586266[Renda 87%]-(B12+B22+B31)</f>
        <v>12944</v>
      </c>
      <c r="F6" s="11"/>
      <c r="G6" s="11"/>
      <c r="H6" s="11"/>
      <c r="I6" s="7">
        <f>SUM(B12,B22,B31)</f>
        <v>27250</v>
      </c>
      <c r="J6" s="9">
        <f>Tabela1101418222630343842465054586266[Sando Final]+I6</f>
        <v>40194</v>
      </c>
    </row>
    <row r="7" spans="1:12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  <c r="L8" s="19"/>
    </row>
    <row r="9" spans="1:12">
      <c r="A9" s="4" t="s">
        <v>85</v>
      </c>
      <c r="B9" s="15">
        <v>5000</v>
      </c>
      <c r="C9" s="1"/>
      <c r="D9" s="1"/>
      <c r="E9" s="1"/>
      <c r="F9" s="1"/>
      <c r="G9" s="1"/>
      <c r="H9" s="1"/>
      <c r="I9" s="1"/>
      <c r="J9" s="1"/>
      <c r="L9" s="19"/>
    </row>
    <row r="10" spans="1:12">
      <c r="A10" s="4" t="s">
        <v>9</v>
      </c>
      <c r="B10" s="15">
        <v>1500</v>
      </c>
      <c r="C10" s="1"/>
      <c r="D10" s="1"/>
      <c r="E10" s="1"/>
      <c r="F10" s="1"/>
      <c r="G10" s="1"/>
      <c r="H10" s="1"/>
      <c r="I10" s="1"/>
      <c r="J10" s="1"/>
    </row>
    <row r="11" spans="1:12">
      <c r="A11" s="4"/>
      <c r="B11" s="15"/>
      <c r="C11" s="1"/>
      <c r="D11" s="1"/>
      <c r="E11" s="1"/>
      <c r="F11" s="1"/>
      <c r="G11" s="1"/>
      <c r="H11" s="1"/>
      <c r="I11" s="1"/>
      <c r="J11" s="1"/>
    </row>
    <row r="12" spans="1:12">
      <c r="A12" s="2" t="s">
        <v>14</v>
      </c>
      <c r="B12" s="2">
        <f>SUM(B9:B11)</f>
        <v>6500</v>
      </c>
      <c r="C12" s="1"/>
      <c r="D12" s="1"/>
      <c r="E12" s="1"/>
      <c r="F12" s="1"/>
      <c r="G12" s="1"/>
      <c r="H12" s="1"/>
      <c r="I12" s="1"/>
      <c r="J12" s="1"/>
    </row>
    <row r="13" spans="1:12">
      <c r="A13" s="1"/>
      <c r="B13" s="20"/>
      <c r="C13" s="1"/>
      <c r="D13" s="1"/>
      <c r="E13" s="1"/>
      <c r="F13" s="1"/>
      <c r="G13" s="1"/>
      <c r="H13" s="1"/>
      <c r="I13" s="1"/>
      <c r="J13" s="1"/>
    </row>
    <row r="14" spans="1:12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2">
      <c r="A15" s="1" t="s">
        <v>16</v>
      </c>
      <c r="B15" s="10">
        <v>5000</v>
      </c>
      <c r="C15" s="1"/>
      <c r="D15" s="1"/>
      <c r="E15" s="1"/>
      <c r="F15" s="1"/>
      <c r="G15" s="1"/>
      <c r="H15" s="1"/>
      <c r="I15" s="1"/>
      <c r="J15" s="1"/>
    </row>
    <row r="16" spans="1:12">
      <c r="A16" s="1" t="s">
        <v>17</v>
      </c>
      <c r="B16" s="10">
        <v>550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41</v>
      </c>
      <c r="B17" s="10">
        <v>1300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0">
        <v>500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20</v>
      </c>
      <c r="B19" s="10">
        <v>400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63</v>
      </c>
      <c r="B20" s="10">
        <v>2000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64</v>
      </c>
      <c r="B21" s="10">
        <v>2000</v>
      </c>
      <c r="C21" s="1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SUM(B15:B21)</f>
        <v>11750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4" t="s">
        <v>79</v>
      </c>
      <c r="D24" s="1"/>
      <c r="E24" s="1"/>
      <c r="F24" s="1"/>
      <c r="G24" s="1"/>
      <c r="H24" s="1"/>
      <c r="I24" s="1"/>
      <c r="J24" s="1"/>
    </row>
    <row r="25" spans="1:10">
      <c r="A25" s="1" t="s">
        <v>26</v>
      </c>
      <c r="B25" s="10">
        <v>3500</v>
      </c>
      <c r="C25" s="18" t="s">
        <v>80</v>
      </c>
      <c r="D25" s="1"/>
      <c r="E25" s="1"/>
      <c r="F25" s="1"/>
      <c r="G25" s="1"/>
      <c r="H25" s="1"/>
      <c r="I25" s="1"/>
      <c r="J25" s="1"/>
    </row>
    <row r="26" spans="1:10">
      <c r="A26" s="1" t="s">
        <v>23</v>
      </c>
      <c r="B26" s="10">
        <v>3000</v>
      </c>
      <c r="C26" s="18" t="s">
        <v>80</v>
      </c>
      <c r="D26" s="1"/>
      <c r="E26" s="1"/>
      <c r="F26" s="1"/>
      <c r="G26" s="1"/>
      <c r="H26" s="1"/>
      <c r="I26" s="1"/>
      <c r="J26" s="1"/>
    </row>
    <row r="27" spans="1:10">
      <c r="A27" s="1" t="s">
        <v>27</v>
      </c>
      <c r="B27" s="10">
        <v>1000</v>
      </c>
      <c r="C27" s="18" t="s">
        <v>80</v>
      </c>
      <c r="D27" s="1"/>
      <c r="E27" s="1"/>
      <c r="F27" s="1"/>
      <c r="G27" s="1"/>
      <c r="H27" s="1"/>
      <c r="I27" s="1"/>
      <c r="J27" s="1"/>
    </row>
    <row r="28" spans="1:10">
      <c r="A28" s="1" t="s">
        <v>65</v>
      </c>
      <c r="B28" s="10">
        <v>500</v>
      </c>
      <c r="C28" s="18"/>
      <c r="D28" s="1"/>
      <c r="E28" s="1"/>
      <c r="F28" s="1"/>
      <c r="G28" s="1"/>
      <c r="H28" s="1"/>
      <c r="I28" s="1"/>
      <c r="J28" s="1"/>
    </row>
    <row r="29" spans="1:10">
      <c r="A29" s="1" t="s">
        <v>66</v>
      </c>
      <c r="B29" s="10">
        <v>500</v>
      </c>
      <c r="C29" s="18" t="s">
        <v>80</v>
      </c>
      <c r="D29" s="1"/>
      <c r="E29" s="1"/>
      <c r="F29" s="1"/>
      <c r="G29" s="1"/>
      <c r="H29" s="1"/>
      <c r="I29" s="1"/>
      <c r="J29" s="1"/>
    </row>
    <row r="30" spans="1:10">
      <c r="A30" s="1" t="s">
        <v>24</v>
      </c>
      <c r="B30" s="10">
        <v>500</v>
      </c>
      <c r="C30" s="18" t="s">
        <v>80</v>
      </c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SUM(B25:B30)</f>
        <v>9000</v>
      </c>
      <c r="C31" s="18"/>
      <c r="D31" s="1"/>
      <c r="E31" s="1"/>
      <c r="F31" s="1"/>
      <c r="G31" s="1"/>
      <c r="H31" s="1"/>
      <c r="I31" s="1"/>
      <c r="J31" s="1"/>
    </row>
    <row r="32" spans="1:10">
      <c r="C32" s="1"/>
      <c r="D32" s="1"/>
      <c r="E32" s="1"/>
      <c r="F32" s="1"/>
      <c r="G32" s="1"/>
      <c r="H32" s="1"/>
      <c r="I32" s="1"/>
      <c r="J32" s="1"/>
    </row>
    <row r="33" spans="3:10">
      <c r="C33" s="1"/>
      <c r="D33" s="1"/>
      <c r="E33" s="1"/>
      <c r="F33" s="1"/>
      <c r="G33" s="1"/>
      <c r="H33" s="1"/>
      <c r="I33" s="1"/>
      <c r="J33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L39"/>
  <sheetViews>
    <sheetView topLeftCell="A7" zoomScale="130" zoomScaleNormal="130" workbookViewId="0">
      <selection activeCell="D20" sqref="D20"/>
    </sheetView>
  </sheetViews>
  <sheetFormatPr defaultRowHeight="15"/>
  <cols>
    <col min="1" max="1" width="21.85546875" customWidth="1"/>
    <col min="2" max="2" width="20.7109375" customWidth="1"/>
    <col min="3" max="3" width="11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 t="e">
        <f ca="1">_xludf.date()</f>
        <v>#NAME?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42000+2700+1500</f>
        <v>46200</v>
      </c>
      <c r="B6" s="13">
        <f>Tabela110141822263034384246505458626670[ENTRADA]*3/100</f>
        <v>1386</v>
      </c>
      <c r="C6" s="13">
        <f>Tabela110141822263034384246505458626670[ENTRADA]*10/100</f>
        <v>4620</v>
      </c>
      <c r="D6" s="11">
        <f>Tabela110141822263034384246505458626670[ENTRADA]-(Tabela110141822263034384246505458626670[INSS 3%]+Tabela110141822263034384246505458626670[DIZIMO 10%])</f>
        <v>40194</v>
      </c>
      <c r="E6" s="8">
        <f>Tabela110141822263034384246505458626670[Renda 87%]-(B17+B28+B37)</f>
        <v>9084</v>
      </c>
      <c r="F6" s="11"/>
      <c r="G6" s="11"/>
      <c r="H6" s="11"/>
      <c r="I6" s="7">
        <f>SUM(B17,B28,B37)</f>
        <v>31110</v>
      </c>
      <c r="J6" s="9">
        <f>Tabela110141822263034384246505458626670[Sando Final]+I6</f>
        <v>40194</v>
      </c>
    </row>
    <row r="7" spans="1:12" ht="31.5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/>
      <c r="D8" s="1"/>
      <c r="E8" s="1"/>
      <c r="F8" s="1"/>
      <c r="G8" s="1"/>
      <c r="H8" s="1"/>
      <c r="I8" s="1"/>
      <c r="J8" s="1"/>
      <c r="L8" s="19"/>
    </row>
    <row r="9" spans="1:12">
      <c r="A9" s="4" t="s">
        <v>86</v>
      </c>
      <c r="B9" s="15">
        <v>4000</v>
      </c>
      <c r="C9" s="1"/>
      <c r="D9" s="1"/>
      <c r="E9" s="1"/>
      <c r="F9" s="1"/>
      <c r="G9" s="1"/>
      <c r="H9" s="1"/>
      <c r="I9" s="1"/>
      <c r="J9" s="1"/>
      <c r="L9" s="19"/>
    </row>
    <row r="10" spans="1:12">
      <c r="A10" s="4" t="s">
        <v>11</v>
      </c>
      <c r="B10" s="15">
        <v>400</v>
      </c>
      <c r="C10" s="1"/>
      <c r="D10" s="1"/>
      <c r="E10" s="1"/>
      <c r="F10" s="1"/>
      <c r="G10" s="1"/>
      <c r="H10" s="1"/>
      <c r="I10" s="1"/>
      <c r="J10" s="1"/>
    </row>
    <row r="11" spans="1:12">
      <c r="A11" s="4" t="s">
        <v>87</v>
      </c>
      <c r="B11" s="15">
        <v>1200</v>
      </c>
      <c r="C11" s="1"/>
      <c r="D11" s="1"/>
      <c r="E11" s="1"/>
      <c r="F11" s="1"/>
      <c r="G11" s="1"/>
      <c r="H11" s="1"/>
      <c r="I11" s="1"/>
      <c r="J11" s="1"/>
    </row>
    <row r="12" spans="1:12">
      <c r="A12" s="4" t="s">
        <v>44</v>
      </c>
      <c r="B12" s="15">
        <v>200</v>
      </c>
      <c r="C12" s="1"/>
      <c r="D12" s="1"/>
      <c r="E12" s="1"/>
      <c r="F12" s="1"/>
      <c r="G12" s="1"/>
      <c r="H12" s="1"/>
      <c r="I12" s="1"/>
      <c r="J12" s="1"/>
    </row>
    <row r="13" spans="1:12">
      <c r="A13" s="4" t="s">
        <v>88</v>
      </c>
      <c r="B13" s="15">
        <v>100</v>
      </c>
      <c r="C13" s="1"/>
      <c r="D13" s="1"/>
      <c r="E13" s="1"/>
      <c r="F13" s="1"/>
      <c r="G13" s="1"/>
      <c r="H13" s="1"/>
      <c r="I13" s="1"/>
      <c r="J13" s="1"/>
    </row>
    <row r="14" spans="1:12">
      <c r="A14" s="4" t="s">
        <v>89</v>
      </c>
      <c r="B14" s="15">
        <v>560</v>
      </c>
      <c r="C14" s="1"/>
      <c r="D14" s="1"/>
      <c r="E14" s="1"/>
      <c r="F14" s="1"/>
      <c r="G14" s="1"/>
      <c r="H14" s="1"/>
      <c r="I14" s="1"/>
      <c r="J14" s="1"/>
    </row>
    <row r="15" spans="1:12">
      <c r="A15" s="4" t="s">
        <v>13</v>
      </c>
      <c r="B15" s="15">
        <v>2000</v>
      </c>
      <c r="C15" s="1"/>
      <c r="D15" s="1"/>
      <c r="E15" s="1"/>
      <c r="F15" s="1"/>
      <c r="G15" s="1"/>
      <c r="H15" s="1"/>
      <c r="I15" s="1"/>
      <c r="J15" s="1"/>
    </row>
    <row r="16" spans="1:12">
      <c r="A16" s="4" t="s">
        <v>90</v>
      </c>
      <c r="B16" s="15">
        <v>1500</v>
      </c>
      <c r="C16" s="1"/>
      <c r="D16" s="1"/>
      <c r="E16" s="1"/>
      <c r="F16" s="1"/>
      <c r="G16" s="1"/>
      <c r="H16" s="1"/>
      <c r="I16" s="1"/>
      <c r="J16" s="1"/>
    </row>
    <row r="17" spans="1:10">
      <c r="A17" s="2" t="s">
        <v>14</v>
      </c>
      <c r="B17" s="2">
        <f>SUM(B9:B16)</f>
        <v>9960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20"/>
      <c r="C18" s="1"/>
      <c r="D18" s="1"/>
      <c r="E18" s="1"/>
      <c r="F18" s="1"/>
      <c r="G18" s="1"/>
      <c r="H18" s="1"/>
      <c r="I18" s="1"/>
      <c r="J18" s="1"/>
    </row>
    <row r="19" spans="1:10">
      <c r="A19" s="4" t="s">
        <v>15</v>
      </c>
      <c r="B19" s="4" t="s">
        <v>10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16</v>
      </c>
      <c r="B20" s="10">
        <v>5000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17</v>
      </c>
      <c r="B21" s="10">
        <v>550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41</v>
      </c>
      <c r="B22" s="10">
        <v>1300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 t="s">
        <v>19</v>
      </c>
      <c r="B23" s="10">
        <v>500</v>
      </c>
      <c r="C23" s="1"/>
      <c r="D23" s="1"/>
      <c r="E23" s="1"/>
      <c r="F23" s="1"/>
      <c r="G23" s="1"/>
      <c r="H23" s="1"/>
      <c r="I23" s="1"/>
      <c r="J23" s="1"/>
    </row>
    <row r="24" spans="1:10">
      <c r="A24" s="1" t="s">
        <v>91</v>
      </c>
      <c r="B24" s="10">
        <v>2200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 t="s">
        <v>20</v>
      </c>
      <c r="B25" s="10">
        <v>400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 t="s">
        <v>63</v>
      </c>
      <c r="B26" s="10">
        <v>2000</v>
      </c>
      <c r="C26" s="1"/>
      <c r="D26" s="1"/>
      <c r="E26" s="1"/>
      <c r="F26" s="1"/>
      <c r="G26" s="1"/>
      <c r="H26" s="1"/>
      <c r="I26" s="1"/>
      <c r="J26" s="1"/>
    </row>
    <row r="27" spans="1:10">
      <c r="A27" s="1" t="s">
        <v>64</v>
      </c>
      <c r="B27" s="10">
        <v>2000</v>
      </c>
      <c r="C27" s="1"/>
      <c r="D27" s="1"/>
      <c r="E27" s="1"/>
      <c r="F27" s="1"/>
      <c r="G27" s="1"/>
      <c r="H27" s="1"/>
      <c r="I27" s="1"/>
      <c r="J27" s="1"/>
    </row>
    <row r="28" spans="1:10">
      <c r="A28" s="2" t="s">
        <v>14</v>
      </c>
      <c r="B28" s="2">
        <f>SUM(B20:B27)</f>
        <v>13950</v>
      </c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5" t="s">
        <v>22</v>
      </c>
      <c r="B30" s="6" t="s">
        <v>10</v>
      </c>
      <c r="C30" s="4" t="s">
        <v>79</v>
      </c>
      <c r="D30" s="1"/>
      <c r="E30" s="1"/>
      <c r="F30" s="1"/>
      <c r="G30" s="1"/>
      <c r="H30" s="1"/>
      <c r="I30" s="1"/>
      <c r="J30" s="1"/>
    </row>
    <row r="31" spans="1:10">
      <c r="A31" s="1" t="s">
        <v>26</v>
      </c>
      <c r="B31" s="10">
        <v>3000</v>
      </c>
      <c r="C31" s="18" t="s">
        <v>80</v>
      </c>
      <c r="D31" s="1"/>
      <c r="E31" s="1"/>
      <c r="F31" s="1"/>
      <c r="G31" s="1"/>
      <c r="H31" s="1"/>
      <c r="I31" s="1"/>
      <c r="J31" s="1"/>
    </row>
    <row r="32" spans="1:10">
      <c r="A32" s="1" t="s">
        <v>23</v>
      </c>
      <c r="B32" s="10">
        <v>2000</v>
      </c>
      <c r="C32" s="18" t="s">
        <v>80</v>
      </c>
      <c r="D32" s="1"/>
      <c r="E32" s="1"/>
      <c r="F32" s="1"/>
      <c r="G32" s="1"/>
      <c r="H32" s="1"/>
      <c r="I32" s="1"/>
      <c r="J32" s="1"/>
    </row>
    <row r="33" spans="1:10">
      <c r="A33" s="1" t="s">
        <v>27</v>
      </c>
      <c r="B33" s="10">
        <v>1000</v>
      </c>
      <c r="C33" s="18" t="s">
        <v>80</v>
      </c>
      <c r="D33" s="1"/>
      <c r="E33" s="1"/>
      <c r="F33" s="1"/>
      <c r="G33" s="1"/>
      <c r="H33" s="1"/>
      <c r="I33" s="1"/>
      <c r="J33" s="1"/>
    </row>
    <row r="34" spans="1:10">
      <c r="A34" s="1" t="s">
        <v>65</v>
      </c>
      <c r="B34" s="10">
        <v>500</v>
      </c>
      <c r="C34" s="18"/>
      <c r="D34" s="1"/>
      <c r="E34" s="1"/>
      <c r="F34" s="1"/>
      <c r="G34" s="1"/>
      <c r="H34" s="1"/>
      <c r="I34" s="1"/>
      <c r="J34" s="1"/>
    </row>
    <row r="35" spans="1:10">
      <c r="A35" s="1" t="s">
        <v>66</v>
      </c>
      <c r="B35" s="10">
        <v>200</v>
      </c>
      <c r="C35" s="18" t="s">
        <v>80</v>
      </c>
      <c r="D35" s="1"/>
      <c r="E35" s="1"/>
      <c r="F35" s="1"/>
      <c r="G35" s="1"/>
      <c r="H35" s="1"/>
      <c r="I35" s="1"/>
      <c r="J35" s="1"/>
    </row>
    <row r="36" spans="1:10">
      <c r="A36" s="1" t="s">
        <v>24</v>
      </c>
      <c r="B36" s="10">
        <v>500</v>
      </c>
      <c r="C36" s="18" t="s">
        <v>80</v>
      </c>
      <c r="D36" s="1"/>
      <c r="E36" s="1"/>
      <c r="F36" s="1"/>
      <c r="G36" s="1"/>
      <c r="H36" s="1"/>
      <c r="I36" s="1"/>
      <c r="J36" s="1"/>
    </row>
    <row r="37" spans="1:10">
      <c r="A37" s="2" t="s">
        <v>14</v>
      </c>
      <c r="B37" s="2">
        <f>SUM(B31:B36)</f>
        <v>7200</v>
      </c>
      <c r="C37" s="18"/>
      <c r="D37" s="1"/>
      <c r="E37" s="1"/>
      <c r="F37" s="1"/>
      <c r="G37" s="1"/>
      <c r="H37" s="1"/>
      <c r="I37" s="1"/>
      <c r="J37" s="1"/>
    </row>
    <row r="38" spans="1:10">
      <c r="C38" s="1"/>
      <c r="D38" s="1"/>
      <c r="E38" s="1"/>
      <c r="F38" s="1"/>
      <c r="G38" s="1"/>
      <c r="H38" s="1"/>
      <c r="I38" s="1"/>
      <c r="J38" s="1"/>
    </row>
    <row r="39" spans="1:10">
      <c r="C39" s="1"/>
      <c r="D39" s="1"/>
      <c r="E39" s="1"/>
      <c r="F39" s="1"/>
      <c r="G39" s="1"/>
      <c r="H39" s="1"/>
      <c r="I39" s="1"/>
      <c r="J39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L36"/>
  <sheetViews>
    <sheetView topLeftCell="A18" zoomScale="130" zoomScaleNormal="130" workbookViewId="0">
      <selection activeCell="C30" sqref="C30"/>
    </sheetView>
  </sheetViews>
  <sheetFormatPr defaultRowHeight="15"/>
  <cols>
    <col min="1" max="1" width="21.85546875" customWidth="1"/>
    <col min="2" max="2" width="20.7109375" customWidth="1"/>
    <col min="3" max="3" width="11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 t="e">
        <f ca="1">_xludf.date()</f>
        <v>#NAME?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42000+2700+1500</f>
        <v>46200</v>
      </c>
      <c r="B6" s="13">
        <f>Tabela11014182226303438424650545862667074[ENTRADA]*3/100</f>
        <v>1386</v>
      </c>
      <c r="C6" s="13">
        <f>Tabela11014182226303438424650545862667074[ENTRADA]*10/100</f>
        <v>4620</v>
      </c>
      <c r="D6" s="11">
        <f>Tabela11014182226303438424650545862667074[ENTRADA]-(Tabela11014182226303438424650545862667074[INSS 3%]+Tabela11014182226303438424650545862667074[DIZIMO 10%])</f>
        <v>40194</v>
      </c>
      <c r="E6" s="8">
        <f>Tabela11014182226303438424650545862667074[Renda 87%]-(B14+B25+B34)</f>
        <v>-4406</v>
      </c>
      <c r="F6" s="11"/>
      <c r="G6" s="11"/>
      <c r="H6" s="11"/>
      <c r="I6" s="7">
        <f>SUM(B14,B25,B34)</f>
        <v>44600</v>
      </c>
      <c r="J6" s="9">
        <f>Tabela11014182226303438424650545862667074[Sando Final]+I6</f>
        <v>40194</v>
      </c>
    </row>
    <row r="7" spans="1:12" ht="31.5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92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86</v>
      </c>
      <c r="B9" s="15">
        <v>1500</v>
      </c>
      <c r="C9" s="18"/>
      <c r="D9" s="1"/>
      <c r="E9" s="1"/>
      <c r="F9" s="1"/>
      <c r="G9" s="1"/>
      <c r="H9" s="1"/>
      <c r="I9" s="1"/>
      <c r="J9" s="1"/>
      <c r="L9" s="19"/>
    </row>
    <row r="10" spans="1:12">
      <c r="A10" s="4" t="s">
        <v>87</v>
      </c>
      <c r="B10" s="15">
        <v>700</v>
      </c>
      <c r="C10" s="18" t="s">
        <v>80</v>
      </c>
      <c r="D10" s="1"/>
      <c r="E10" s="1"/>
      <c r="F10" s="1"/>
      <c r="G10" s="1"/>
      <c r="H10" s="1"/>
      <c r="I10" s="1"/>
      <c r="J10" s="1"/>
    </row>
    <row r="11" spans="1:12">
      <c r="A11" s="4" t="s">
        <v>89</v>
      </c>
      <c r="B11" s="15">
        <v>2000</v>
      </c>
      <c r="C11" s="18"/>
      <c r="D11" s="1"/>
      <c r="E11" s="1"/>
      <c r="F11" s="1"/>
      <c r="G11" s="1"/>
      <c r="H11" s="1"/>
      <c r="I11" s="1"/>
      <c r="J11" s="1"/>
    </row>
    <row r="12" spans="1:12">
      <c r="A12" s="4" t="s">
        <v>13</v>
      </c>
      <c r="B12" s="15">
        <v>1000</v>
      </c>
      <c r="C12" s="18"/>
      <c r="D12" s="1"/>
      <c r="E12" s="1"/>
      <c r="F12" s="1"/>
      <c r="G12" s="1"/>
      <c r="H12" s="1"/>
      <c r="I12" s="1"/>
      <c r="J12" s="1"/>
    </row>
    <row r="13" spans="1:12">
      <c r="A13" s="4" t="s">
        <v>90</v>
      </c>
      <c r="B13" s="15">
        <v>1000</v>
      </c>
      <c r="C13" s="18" t="s">
        <v>80</v>
      </c>
      <c r="D13" s="1"/>
      <c r="E13" s="1"/>
      <c r="F13" s="1"/>
      <c r="G13" s="1"/>
      <c r="H13" s="1"/>
      <c r="I13" s="1"/>
      <c r="J13" s="1"/>
    </row>
    <row r="14" spans="1:12">
      <c r="A14" s="2" t="s">
        <v>14</v>
      </c>
      <c r="B14" s="2">
        <f>SUM(B9:B13)</f>
        <v>6200</v>
      </c>
      <c r="C14" s="18"/>
      <c r="D14" s="1"/>
      <c r="E14" s="1"/>
      <c r="F14" s="1"/>
      <c r="G14" s="1"/>
      <c r="H14" s="1"/>
      <c r="I14" s="1"/>
      <c r="J14" s="1"/>
    </row>
    <row r="15" spans="1:12">
      <c r="A15" s="1"/>
      <c r="B15" s="20"/>
      <c r="C15" s="1"/>
      <c r="D15" s="1"/>
      <c r="E15" s="1"/>
      <c r="F15" s="1"/>
      <c r="G15" s="1"/>
      <c r="H15" s="1"/>
      <c r="I15" s="1"/>
      <c r="J15" s="1"/>
    </row>
    <row r="16" spans="1:12">
      <c r="A16" s="4" t="s">
        <v>15</v>
      </c>
      <c r="B16" s="4" t="s">
        <v>10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16</v>
      </c>
      <c r="B17" s="10">
        <v>5000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17</v>
      </c>
      <c r="B18" s="10">
        <v>20000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41</v>
      </c>
      <c r="B19" s="10">
        <v>1300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19</v>
      </c>
      <c r="B20" s="10">
        <v>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91</v>
      </c>
      <c r="B21" s="10"/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20</v>
      </c>
      <c r="B22" s="10">
        <v>400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 t="s">
        <v>63</v>
      </c>
      <c r="B23" s="10"/>
      <c r="C23" s="1"/>
      <c r="D23" s="1"/>
      <c r="E23" s="1"/>
      <c r="F23" s="1"/>
      <c r="G23" s="1"/>
      <c r="H23" s="1"/>
      <c r="I23" s="1"/>
      <c r="J23" s="1"/>
    </row>
    <row r="24" spans="1:10">
      <c r="A24" s="1" t="s">
        <v>64</v>
      </c>
      <c r="B24" s="10"/>
      <c r="C24" s="1"/>
      <c r="D24" s="1"/>
      <c r="E24" s="1"/>
      <c r="F24" s="1"/>
      <c r="G24" s="1"/>
      <c r="H24" s="1"/>
      <c r="I24" s="1"/>
      <c r="J24" s="1"/>
    </row>
    <row r="25" spans="1:10">
      <c r="A25" s="2" t="s">
        <v>14</v>
      </c>
      <c r="B25" s="2">
        <f>SUM(B17:B24)</f>
        <v>27200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5" t="s">
        <v>22</v>
      </c>
      <c r="B27" s="6" t="s">
        <v>10</v>
      </c>
      <c r="C27" s="4" t="s">
        <v>79</v>
      </c>
      <c r="D27" s="1"/>
      <c r="E27" s="1"/>
      <c r="F27" s="1"/>
      <c r="G27" s="1"/>
      <c r="H27" s="1"/>
      <c r="I27" s="1"/>
      <c r="J27" s="1"/>
    </row>
    <row r="28" spans="1:10">
      <c r="A28" s="1" t="s">
        <v>26</v>
      </c>
      <c r="B28" s="10">
        <v>3000</v>
      </c>
      <c r="C28" s="18"/>
      <c r="D28" s="1"/>
      <c r="E28" s="1"/>
      <c r="F28" s="1"/>
      <c r="G28" s="1"/>
      <c r="H28" s="1"/>
      <c r="I28" s="1"/>
      <c r="J28" s="1"/>
    </row>
    <row r="29" spans="1:10">
      <c r="A29" s="1" t="s">
        <v>23</v>
      </c>
      <c r="B29" s="10">
        <v>2000</v>
      </c>
      <c r="C29" s="18"/>
      <c r="D29" s="1"/>
      <c r="E29" s="1"/>
      <c r="F29" s="1"/>
      <c r="G29" s="1"/>
      <c r="H29" s="1"/>
      <c r="I29" s="1"/>
      <c r="J29" s="1"/>
    </row>
    <row r="30" spans="1:10">
      <c r="A30" s="1" t="s">
        <v>27</v>
      </c>
      <c r="B30" s="10">
        <v>5000</v>
      </c>
      <c r="C30" s="18"/>
      <c r="D30" s="1"/>
      <c r="E30" s="1"/>
      <c r="F30" s="1"/>
      <c r="G30" s="1"/>
      <c r="H30" s="1"/>
      <c r="I30" s="1"/>
      <c r="J30" s="1"/>
    </row>
    <row r="31" spans="1:10">
      <c r="A31" s="1" t="s">
        <v>65</v>
      </c>
      <c r="B31" s="10">
        <v>500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 t="s">
        <v>66</v>
      </c>
      <c r="B32" s="10">
        <v>200</v>
      </c>
      <c r="C32" s="18"/>
      <c r="D32" s="1"/>
      <c r="E32" s="1"/>
      <c r="F32" s="1"/>
      <c r="G32" s="1"/>
      <c r="H32" s="1"/>
      <c r="I32" s="1"/>
      <c r="J32" s="1"/>
    </row>
    <row r="33" spans="1:10">
      <c r="A33" s="1" t="s">
        <v>24</v>
      </c>
      <c r="B33" s="10">
        <v>500</v>
      </c>
      <c r="C33" s="18"/>
      <c r="D33" s="1"/>
      <c r="E33" s="1"/>
      <c r="F33" s="1"/>
      <c r="G33" s="1"/>
      <c r="H33" s="1"/>
      <c r="I33" s="1"/>
      <c r="J33" s="1"/>
    </row>
    <row r="34" spans="1:10">
      <c r="A34" s="2" t="s">
        <v>14</v>
      </c>
      <c r="B34" s="2">
        <f>SUM(B28:B33)</f>
        <v>11200</v>
      </c>
      <c r="C34" s="18"/>
      <c r="D34" s="1"/>
      <c r="E34" s="1"/>
      <c r="F34" s="1"/>
      <c r="G34" s="1"/>
      <c r="H34" s="1"/>
      <c r="I34" s="1"/>
      <c r="J34" s="1"/>
    </row>
    <row r="35" spans="1:10">
      <c r="C35" s="1"/>
      <c r="D35" s="1"/>
      <c r="E35" s="1"/>
      <c r="F35" s="1"/>
      <c r="G35" s="1"/>
      <c r="H35" s="1"/>
      <c r="I35" s="1"/>
      <c r="J35" s="1"/>
    </row>
    <row r="36" spans="1:10">
      <c r="C36" s="1"/>
      <c r="D36" s="1"/>
      <c r="E36" s="1"/>
      <c r="F36" s="1"/>
      <c r="G36" s="1"/>
      <c r="H36" s="1"/>
      <c r="I36" s="1"/>
      <c r="J36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L37"/>
  <sheetViews>
    <sheetView zoomScale="130" zoomScaleNormal="130" workbookViewId="0">
      <selection activeCell="D8" sqref="D8"/>
    </sheetView>
  </sheetViews>
  <sheetFormatPr defaultRowHeight="15"/>
  <cols>
    <col min="1" max="1" width="21.85546875" customWidth="1"/>
    <col min="2" max="2" width="20.7109375" customWidth="1"/>
    <col min="3" max="3" width="11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42000+2700+1500</f>
        <v>46200</v>
      </c>
      <c r="B6" s="13">
        <f>Tabela1101418222630343842465054586266707478[ENTRADA]*3/100</f>
        <v>1386</v>
      </c>
      <c r="C6" s="13">
        <f>Tabela1101418222630343842465054586266707478[ENTRADA]*10/100</f>
        <v>4620</v>
      </c>
      <c r="D6" s="11">
        <f>Tabela1101418222630343842465054586266707478[ENTRADA]-(Tabela1101418222630343842465054586266707478[INSS 3%]+Tabela1101418222630343842465054586266707478[DIZIMO 10%])</f>
        <v>40194</v>
      </c>
      <c r="E6" s="8">
        <f>Tabela1101418222630343842465054586266707478[Renda 87%]-(B15+B26+B35)</f>
        <v>7144</v>
      </c>
      <c r="F6" s="11"/>
      <c r="G6" s="11"/>
      <c r="H6" s="11"/>
      <c r="I6" s="7">
        <f>SUM(B15,B26,B35)</f>
        <v>33050</v>
      </c>
      <c r="J6" s="9">
        <f>Tabela1101418222630343842465054586266707478[Sando Final]+I6</f>
        <v>40194</v>
      </c>
    </row>
    <row r="7" spans="1:12" ht="31.5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92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86</v>
      </c>
      <c r="B9" s="15">
        <v>1500</v>
      </c>
      <c r="C9" s="18"/>
      <c r="D9" s="1"/>
      <c r="E9" s="1"/>
      <c r="F9" s="1"/>
      <c r="G9" s="1"/>
      <c r="H9" s="1"/>
      <c r="I9" s="1"/>
      <c r="J9" s="1"/>
      <c r="L9" s="19"/>
    </row>
    <row r="10" spans="1:12">
      <c r="A10" s="4" t="s">
        <v>44</v>
      </c>
      <c r="B10" s="15">
        <v>5000</v>
      </c>
      <c r="C10" s="18" t="s">
        <v>80</v>
      </c>
      <c r="D10" s="1"/>
      <c r="E10" s="1"/>
      <c r="F10" s="1"/>
      <c r="G10" s="1"/>
      <c r="H10" s="1"/>
      <c r="I10" s="1"/>
      <c r="J10" s="1"/>
    </row>
    <row r="11" spans="1:12">
      <c r="A11" s="4" t="s">
        <v>89</v>
      </c>
      <c r="B11" s="15">
        <v>2000</v>
      </c>
      <c r="C11" s="18"/>
      <c r="D11" s="1"/>
      <c r="E11" s="1"/>
      <c r="F11" s="1"/>
      <c r="G11" s="1"/>
      <c r="H11" s="1"/>
      <c r="I11" s="1"/>
      <c r="J11" s="1"/>
    </row>
    <row r="12" spans="1:12">
      <c r="A12" s="4" t="s">
        <v>13</v>
      </c>
      <c r="B12" s="15">
        <v>5000</v>
      </c>
      <c r="C12" s="18"/>
      <c r="D12" s="1"/>
      <c r="E12" s="1"/>
      <c r="F12" s="1"/>
      <c r="G12" s="1"/>
      <c r="H12" s="1"/>
      <c r="I12" s="1"/>
      <c r="J12" s="1"/>
    </row>
    <row r="13" spans="1:12">
      <c r="A13" s="4" t="s">
        <v>93</v>
      </c>
      <c r="B13" s="15">
        <v>500</v>
      </c>
      <c r="C13" s="18"/>
      <c r="D13" s="1"/>
      <c r="E13" s="1"/>
      <c r="F13" s="1"/>
      <c r="G13" s="1"/>
      <c r="H13" s="1"/>
      <c r="I13" s="1"/>
      <c r="J13" s="1"/>
    </row>
    <row r="14" spans="1:12">
      <c r="A14" s="4" t="s">
        <v>90</v>
      </c>
      <c r="B14" s="15">
        <v>300</v>
      </c>
      <c r="C14" s="18" t="s">
        <v>80</v>
      </c>
      <c r="D14" s="1"/>
      <c r="E14" s="1"/>
      <c r="F14" s="1"/>
      <c r="G14" s="1"/>
      <c r="H14" s="1"/>
      <c r="I14" s="1"/>
      <c r="J14" s="1"/>
    </row>
    <row r="15" spans="1:12">
      <c r="A15" s="2" t="s">
        <v>14</v>
      </c>
      <c r="B15" s="2">
        <f>SUM(B9:B14)</f>
        <v>14300</v>
      </c>
      <c r="C15" s="18"/>
      <c r="D15" s="1"/>
      <c r="E15" s="1"/>
      <c r="F15" s="1"/>
      <c r="G15" s="1"/>
      <c r="H15" s="1"/>
      <c r="I15" s="1"/>
      <c r="J15" s="1"/>
    </row>
    <row r="16" spans="1:12">
      <c r="A16" s="1"/>
      <c r="B16" s="20"/>
      <c r="C16" s="1"/>
      <c r="D16" s="1"/>
      <c r="E16" s="1"/>
      <c r="F16" s="1"/>
      <c r="G16" s="1"/>
      <c r="H16" s="1"/>
      <c r="I16" s="1"/>
      <c r="J16" s="1"/>
    </row>
    <row r="17" spans="1:10">
      <c r="A17" s="4" t="s">
        <v>15</v>
      </c>
      <c r="B17" s="4" t="s">
        <v>10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16</v>
      </c>
      <c r="B18" s="10">
        <v>5000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17</v>
      </c>
      <c r="B19" s="10">
        <v>600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41</v>
      </c>
      <c r="B20" s="10">
        <v>1300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19</v>
      </c>
      <c r="B21" s="10">
        <v>500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20</v>
      </c>
      <c r="B22" s="10">
        <v>650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 t="s">
        <v>63</v>
      </c>
      <c r="B23" s="10">
        <v>1500</v>
      </c>
      <c r="C23" s="1"/>
      <c r="D23" s="1"/>
      <c r="E23" s="1"/>
      <c r="F23" s="1"/>
      <c r="G23" s="1"/>
      <c r="H23" s="1"/>
      <c r="I23" s="1"/>
      <c r="J23" s="1"/>
    </row>
    <row r="24" spans="1:10">
      <c r="A24" s="1" t="s">
        <v>94</v>
      </c>
      <c r="B24" s="10">
        <v>500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 t="s">
        <v>64</v>
      </c>
      <c r="B25" s="10">
        <v>1500</v>
      </c>
      <c r="C25" s="1"/>
      <c r="D25" s="1"/>
      <c r="E25" s="1"/>
      <c r="F25" s="1"/>
      <c r="G25" s="1"/>
      <c r="H25" s="1"/>
      <c r="I25" s="1"/>
      <c r="J25" s="1"/>
    </row>
    <row r="26" spans="1:10">
      <c r="A26" s="2" t="s">
        <v>14</v>
      </c>
      <c r="B26" s="2">
        <f>SUM(B18:B25)</f>
        <v>11550</v>
      </c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5" t="s">
        <v>22</v>
      </c>
      <c r="B28" s="6" t="s">
        <v>10</v>
      </c>
      <c r="C28" s="4" t="s">
        <v>79</v>
      </c>
      <c r="D28" s="1"/>
      <c r="E28" s="1"/>
      <c r="F28" s="1"/>
      <c r="G28" s="1"/>
      <c r="H28" s="1"/>
      <c r="I28" s="1"/>
      <c r="J28" s="1"/>
    </row>
    <row r="29" spans="1:10">
      <c r="A29" s="1" t="s">
        <v>26</v>
      </c>
      <c r="B29" s="10">
        <v>3000</v>
      </c>
      <c r="C29" s="18"/>
      <c r="D29" s="1"/>
      <c r="E29" s="1"/>
      <c r="F29" s="1"/>
      <c r="G29" s="1"/>
      <c r="H29" s="1"/>
      <c r="I29" s="1"/>
      <c r="J29" s="1"/>
    </row>
    <row r="30" spans="1:10">
      <c r="A30" s="1" t="s">
        <v>23</v>
      </c>
      <c r="B30" s="10">
        <v>2000</v>
      </c>
      <c r="C30" s="18"/>
      <c r="D30" s="1"/>
      <c r="E30" s="1"/>
      <c r="F30" s="1"/>
      <c r="G30" s="1"/>
      <c r="H30" s="1"/>
      <c r="I30" s="1"/>
      <c r="J30" s="1"/>
    </row>
    <row r="31" spans="1:10">
      <c r="A31" s="1" t="s">
        <v>27</v>
      </c>
      <c r="B31" s="10">
        <v>1000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 t="s">
        <v>65</v>
      </c>
      <c r="B32" s="10">
        <v>500</v>
      </c>
      <c r="C32" s="18"/>
      <c r="D32" s="1"/>
      <c r="E32" s="1"/>
      <c r="F32" s="1"/>
      <c r="G32" s="1"/>
      <c r="H32" s="1"/>
      <c r="I32" s="1"/>
      <c r="J32" s="1"/>
    </row>
    <row r="33" spans="1:10">
      <c r="A33" s="1" t="s">
        <v>66</v>
      </c>
      <c r="B33" s="10">
        <v>200</v>
      </c>
      <c r="C33" s="18"/>
      <c r="D33" s="1"/>
      <c r="E33" s="1"/>
      <c r="F33" s="1"/>
      <c r="G33" s="1"/>
      <c r="H33" s="1"/>
      <c r="I33" s="1"/>
      <c r="J33" s="1"/>
    </row>
    <row r="34" spans="1:10">
      <c r="A34" s="1" t="s">
        <v>24</v>
      </c>
      <c r="B34" s="10">
        <v>500</v>
      </c>
      <c r="C34" s="18"/>
      <c r="D34" s="1"/>
      <c r="E34" s="1"/>
      <c r="F34" s="1"/>
      <c r="G34" s="1"/>
      <c r="H34" s="1"/>
      <c r="I34" s="1"/>
      <c r="J34" s="1"/>
    </row>
    <row r="35" spans="1:10">
      <c r="A35" s="2" t="s">
        <v>14</v>
      </c>
      <c r="B35" s="2">
        <f>SUM(B29:B34)</f>
        <v>7200</v>
      </c>
      <c r="C35" s="18"/>
      <c r="D35" s="1"/>
      <c r="E35" s="1"/>
      <c r="F35" s="1"/>
      <c r="G35" s="1"/>
      <c r="H35" s="1"/>
      <c r="I35" s="1"/>
      <c r="J35" s="1"/>
    </row>
    <row r="36" spans="1:10">
      <c r="C36" s="1"/>
      <c r="D36" s="1"/>
      <c r="E36" s="1"/>
      <c r="F36" s="1"/>
      <c r="G36" s="1"/>
      <c r="H36" s="1"/>
      <c r="I36" s="1"/>
      <c r="J36" s="1"/>
    </row>
    <row r="37" spans="1:10">
      <c r="C37" s="1"/>
      <c r="D37" s="1"/>
      <c r="E37" s="1"/>
      <c r="F37" s="1"/>
      <c r="G37" s="1"/>
      <c r="H37" s="1"/>
      <c r="I37" s="1"/>
      <c r="J37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826EE-7D62-47BF-9F97-866BA4420AC7}">
  <dimension ref="A2:L37"/>
  <sheetViews>
    <sheetView zoomScale="130" zoomScaleNormal="130" workbookViewId="0">
      <selection activeCell="D19" sqref="D19"/>
    </sheetView>
  </sheetViews>
  <sheetFormatPr defaultRowHeight="15"/>
  <cols>
    <col min="1" max="1" width="21.85546875" customWidth="1"/>
    <col min="2" max="2" width="20.7109375" customWidth="1"/>
    <col min="3" max="3" width="11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42000+2700+1500</f>
        <v>46200</v>
      </c>
      <c r="B6" s="13">
        <f>Tabela110141822263034384246505458626670747882[ENTRADA]*3/100</f>
        <v>1386</v>
      </c>
      <c r="C6" s="13">
        <f>Tabela110141822263034384246505458626670747882[ENTRADA]*10/100</f>
        <v>4620</v>
      </c>
      <c r="D6" s="11">
        <f>Tabela110141822263034384246505458626670747882[ENTRADA]-(Tabela110141822263034384246505458626670747882[INSS 3%]+Tabela110141822263034384246505458626670747882[DIZIMO 10%])</f>
        <v>40194</v>
      </c>
      <c r="E6" s="8">
        <f>Tabela110141822263034384246505458626670747882[Renda 87%]-(B12+B24+B33)</f>
        <v>5444</v>
      </c>
      <c r="F6" s="11"/>
      <c r="G6" s="11"/>
      <c r="H6" s="11"/>
      <c r="I6" s="7">
        <f>B12+B24+B33</f>
        <v>34750</v>
      </c>
      <c r="J6" s="9">
        <f>Tabela110141822263034384246505458626670747882[Sando Final]+I6</f>
        <v>40194</v>
      </c>
    </row>
    <row r="7" spans="1:12" ht="31.5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92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89</v>
      </c>
      <c r="B9" s="15">
        <v>4000</v>
      </c>
      <c r="C9" s="18"/>
      <c r="D9" s="1"/>
      <c r="E9" s="1"/>
      <c r="F9" s="1"/>
      <c r="G9" s="1"/>
      <c r="H9" s="1"/>
      <c r="I9" s="1"/>
      <c r="J9" s="1"/>
      <c r="L9" s="19"/>
    </row>
    <row r="10" spans="1:12">
      <c r="A10" s="21" t="s">
        <v>95</v>
      </c>
      <c r="B10" s="21">
        <f>SUM(B9:B9)</f>
        <v>4000</v>
      </c>
      <c r="C10" s="22"/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13</v>
      </c>
      <c r="B11" s="15">
        <v>5500</v>
      </c>
      <c r="C11" s="18"/>
      <c r="D11" s="1"/>
      <c r="E11" s="1"/>
      <c r="F11" s="1"/>
      <c r="G11" s="1"/>
      <c r="H11" s="1"/>
      <c r="I11" s="1"/>
      <c r="J11" s="1"/>
    </row>
    <row r="12" spans="1:12">
      <c r="A12" s="2" t="s">
        <v>14</v>
      </c>
      <c r="B12" s="2">
        <f>SUM(B9:B11)</f>
        <v>13500</v>
      </c>
      <c r="C12" s="18"/>
      <c r="D12" s="1"/>
      <c r="E12" s="1"/>
      <c r="F12" s="1"/>
      <c r="G12" s="1"/>
      <c r="H12" s="1"/>
      <c r="I12" s="1"/>
      <c r="J12" s="1"/>
    </row>
    <row r="13" spans="1:12">
      <c r="A13" s="1"/>
      <c r="B13" s="20"/>
      <c r="C13" s="1"/>
      <c r="D13" s="1"/>
      <c r="E13" s="1"/>
      <c r="F13" s="1"/>
      <c r="G13" s="1"/>
      <c r="H13" s="1"/>
      <c r="I13" s="1"/>
      <c r="J13" s="1"/>
    </row>
    <row r="14" spans="1:12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2">
      <c r="A15" s="1" t="s">
        <v>16</v>
      </c>
      <c r="B15" s="10">
        <v>5000</v>
      </c>
      <c r="C15" s="1"/>
      <c r="D15" s="1"/>
      <c r="E15" s="1"/>
      <c r="F15" s="1"/>
      <c r="G15" s="1"/>
      <c r="H15" s="1"/>
      <c r="I15" s="1"/>
      <c r="J15" s="1"/>
    </row>
    <row r="16" spans="1:12">
      <c r="A16" s="1" t="s">
        <v>17</v>
      </c>
      <c r="B16" s="10">
        <v>600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41</v>
      </c>
      <c r="B17" s="10">
        <v>1300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0">
        <v>500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20</v>
      </c>
      <c r="B19" s="10">
        <v>650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96</v>
      </c>
      <c r="B20" s="10">
        <v>2000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63</v>
      </c>
      <c r="B21" s="10">
        <v>1500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94</v>
      </c>
      <c r="B22" s="10">
        <v>1000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 t="s">
        <v>64</v>
      </c>
      <c r="B23" s="10">
        <v>1500</v>
      </c>
      <c r="C23" s="1"/>
      <c r="D23" s="1"/>
      <c r="E23" s="1"/>
      <c r="F23" s="1"/>
      <c r="G23" s="1"/>
      <c r="H23" s="1"/>
      <c r="I23" s="1"/>
      <c r="J23" s="1"/>
    </row>
    <row r="24" spans="1:10">
      <c r="A24" s="2" t="s">
        <v>14</v>
      </c>
      <c r="B24" s="2">
        <f>SUM(B15:B23)</f>
        <v>14050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5" t="s">
        <v>22</v>
      </c>
      <c r="B26" s="6" t="s">
        <v>10</v>
      </c>
      <c r="C26" s="4" t="s">
        <v>79</v>
      </c>
      <c r="D26" s="1"/>
      <c r="E26" s="1"/>
      <c r="F26" s="1"/>
      <c r="G26" s="1"/>
      <c r="H26" s="1"/>
      <c r="I26" s="1"/>
      <c r="J26" s="1"/>
    </row>
    <row r="27" spans="1:10">
      <c r="A27" s="1" t="s">
        <v>26</v>
      </c>
      <c r="B27" s="10">
        <v>3000</v>
      </c>
      <c r="C27" s="18"/>
      <c r="D27" s="1"/>
      <c r="E27" s="1"/>
      <c r="F27" s="1"/>
      <c r="G27" s="1"/>
      <c r="H27" s="1"/>
      <c r="I27" s="1"/>
      <c r="J27" s="1"/>
    </row>
    <row r="28" spans="1:10">
      <c r="A28" s="1" t="s">
        <v>23</v>
      </c>
      <c r="B28" s="10">
        <v>2000</v>
      </c>
      <c r="C28" s="18"/>
      <c r="D28" s="1"/>
      <c r="E28" s="1"/>
      <c r="F28" s="1"/>
      <c r="G28" s="1"/>
      <c r="H28" s="1"/>
      <c r="I28" s="1"/>
      <c r="J28" s="1"/>
    </row>
    <row r="29" spans="1:10">
      <c r="A29" s="1" t="s">
        <v>27</v>
      </c>
      <c r="B29" s="10">
        <v>1000</v>
      </c>
      <c r="C29" s="18"/>
      <c r="D29" s="1"/>
      <c r="E29" s="1"/>
      <c r="F29" s="1"/>
      <c r="G29" s="1"/>
      <c r="H29" s="1"/>
      <c r="I29" s="1"/>
      <c r="J29" s="1"/>
    </row>
    <row r="30" spans="1:10">
      <c r="A30" s="1" t="s">
        <v>65</v>
      </c>
      <c r="B30" s="10">
        <v>500</v>
      </c>
      <c r="C30" s="18"/>
      <c r="D30" s="1"/>
      <c r="E30" s="1"/>
      <c r="F30" s="1"/>
      <c r="G30" s="1"/>
      <c r="H30" s="1"/>
      <c r="I30" s="1"/>
      <c r="J30" s="1"/>
    </row>
    <row r="31" spans="1:10">
      <c r="A31" s="1" t="s">
        <v>66</v>
      </c>
      <c r="B31" s="10">
        <v>200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 t="s">
        <v>24</v>
      </c>
      <c r="B32" s="10">
        <v>500</v>
      </c>
      <c r="C32" s="18"/>
      <c r="D32" s="1"/>
      <c r="E32" s="1"/>
      <c r="F32" s="1"/>
      <c r="G32" s="1"/>
      <c r="H32" s="1"/>
      <c r="I32" s="1"/>
      <c r="J32" s="1"/>
    </row>
    <row r="33" spans="1:10">
      <c r="A33" s="2" t="s">
        <v>14</v>
      </c>
      <c r="B33" s="2">
        <f>SUM(B27:B32)</f>
        <v>7200</v>
      </c>
      <c r="C33" s="18"/>
      <c r="D33" s="1"/>
      <c r="E33" s="1"/>
      <c r="F33" s="1"/>
      <c r="G33" s="1"/>
      <c r="H33" s="1"/>
      <c r="I33" s="1"/>
      <c r="J33" s="1"/>
    </row>
    <row r="34" spans="1:10">
      <c r="C34" s="1"/>
      <c r="D34" s="1"/>
      <c r="E34" s="1"/>
      <c r="F34" s="1"/>
      <c r="G34" s="1"/>
      <c r="H34" s="1"/>
      <c r="I34" s="1"/>
      <c r="J34" s="1"/>
    </row>
    <row r="35" spans="1:10">
      <c r="C35" s="1"/>
      <c r="D35" s="1"/>
      <c r="E35" s="1"/>
      <c r="F35" s="1"/>
      <c r="G35" s="1"/>
      <c r="H35" s="1"/>
      <c r="I35" s="1"/>
      <c r="J35" s="1"/>
    </row>
    <row r="36" spans="1:10">
      <c r="D36" s="1"/>
      <c r="E36" s="1"/>
      <c r="F36" s="1"/>
      <c r="G36" s="1"/>
      <c r="H36" s="1"/>
      <c r="I36" s="1"/>
      <c r="J36" s="1"/>
    </row>
    <row r="37" spans="1:10">
      <c r="D37" s="1"/>
      <c r="E37" s="1"/>
      <c r="F37" s="1"/>
      <c r="G37" s="1"/>
      <c r="H37" s="1"/>
      <c r="I37" s="1"/>
      <c r="J37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F429-3F41-415E-A0FD-0B7360382E5E}">
  <dimension ref="A2:L37"/>
  <sheetViews>
    <sheetView topLeftCell="A19" zoomScale="130" zoomScaleNormal="130" workbookViewId="0">
      <selection activeCell="D13" sqref="D13"/>
    </sheetView>
  </sheetViews>
  <sheetFormatPr defaultRowHeight="15"/>
  <cols>
    <col min="1" max="1" width="21.85546875" customWidth="1"/>
    <col min="2" max="2" width="20.7109375" customWidth="1"/>
    <col min="3" max="3" width="11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42000+2700+1500</f>
        <v>46200</v>
      </c>
      <c r="B6" s="13">
        <f>Tabela11014182226303438424650545862667074788286[ENTRADA]*3/100</f>
        <v>1386</v>
      </c>
      <c r="C6" s="13">
        <f>Tabela11014182226303438424650545862667074788286[ENTRADA]*10/100</f>
        <v>4620</v>
      </c>
      <c r="D6" s="11">
        <f>Tabela11014182226303438424650545862667074788286[ENTRADA]-(Tabela11014182226303438424650545862667074788286[INSS 3%]+Tabela11014182226303438424650545862667074788286[DIZIMO 10%])</f>
        <v>40194</v>
      </c>
      <c r="E6" s="8">
        <f>Tabela11014182226303438424650545862667074788286[Renda 87%]-(B12+B22+B32)</f>
        <v>13164</v>
      </c>
      <c r="F6" s="11"/>
      <c r="G6" s="11"/>
      <c r="H6" s="11"/>
      <c r="I6" s="7">
        <f>B12+B22+B32</f>
        <v>27030</v>
      </c>
      <c r="J6" s="9">
        <f>Tabela11014182226303438424650545862667074788286[Sando Final]+I6</f>
        <v>40194</v>
      </c>
    </row>
    <row r="7" spans="1:12" ht="31.5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92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89</v>
      </c>
      <c r="B9" s="15">
        <v>2400</v>
      </c>
      <c r="C9" s="18"/>
      <c r="D9" s="1"/>
      <c r="E9" s="1"/>
      <c r="F9" s="1"/>
      <c r="G9" s="1"/>
      <c r="H9" s="1"/>
      <c r="I9" s="1"/>
      <c r="J9" s="1"/>
      <c r="L9" s="19"/>
    </row>
    <row r="10" spans="1:12">
      <c r="A10" s="4" t="s">
        <v>97</v>
      </c>
      <c r="B10" s="15">
        <v>800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21" t="s">
        <v>95</v>
      </c>
      <c r="B11" s="21">
        <v>4000</v>
      </c>
      <c r="C11" s="22"/>
      <c r="D11" s="1"/>
      <c r="E11" s="1"/>
      <c r="F11" s="1"/>
      <c r="G11" s="1"/>
      <c r="H11" s="1"/>
      <c r="I11" s="1"/>
      <c r="J11" s="1"/>
      <c r="L11" s="19"/>
    </row>
    <row r="12" spans="1:12">
      <c r="A12" s="2" t="s">
        <v>14</v>
      </c>
      <c r="B12" s="2">
        <f>SUM(B9:B11)</f>
        <v>7200</v>
      </c>
      <c r="C12" s="18"/>
      <c r="D12" s="1"/>
      <c r="E12" s="1"/>
      <c r="F12" s="1"/>
      <c r="G12" s="1"/>
      <c r="H12" s="1"/>
      <c r="I12" s="1"/>
      <c r="J12" s="1"/>
    </row>
    <row r="13" spans="1:12">
      <c r="A13" s="1"/>
      <c r="B13" s="20"/>
      <c r="C13" s="1"/>
      <c r="D13" s="1"/>
      <c r="E13" s="1"/>
      <c r="F13" s="1"/>
      <c r="G13" s="1"/>
      <c r="H13" s="1"/>
      <c r="I13" s="1"/>
      <c r="J13" s="1"/>
    </row>
    <row r="14" spans="1:12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2">
      <c r="A15" s="1" t="s">
        <v>16</v>
      </c>
      <c r="B15" s="10">
        <v>5000</v>
      </c>
      <c r="C15" s="1"/>
      <c r="D15" s="1"/>
      <c r="E15" s="1"/>
      <c r="F15" s="1"/>
      <c r="G15" s="1"/>
      <c r="H15" s="1"/>
      <c r="I15" s="1"/>
      <c r="J15" s="1"/>
    </row>
    <row r="16" spans="1:12">
      <c r="A16" s="1" t="s">
        <v>17</v>
      </c>
      <c r="B16" s="10">
        <v>600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41</v>
      </c>
      <c r="B17" s="10">
        <v>1380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0">
        <v>500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20</v>
      </c>
      <c r="B19" s="10">
        <v>650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63</v>
      </c>
      <c r="B20" s="10">
        <v>1500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64</v>
      </c>
      <c r="B21" s="10">
        <v>1500</v>
      </c>
      <c r="C21" s="1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SUM(B15:B21)</f>
        <v>11130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4" t="s">
        <v>79</v>
      </c>
      <c r="D24" s="1"/>
      <c r="E24" s="1"/>
      <c r="F24" s="1"/>
      <c r="G24" s="1"/>
      <c r="H24" s="1"/>
      <c r="I24" s="1"/>
      <c r="J24" s="1"/>
    </row>
    <row r="25" spans="1:10">
      <c r="A25" s="1" t="s">
        <v>26</v>
      </c>
      <c r="B25" s="10">
        <v>3000</v>
      </c>
      <c r="C25" s="18"/>
      <c r="D25" s="1"/>
      <c r="E25" s="1"/>
      <c r="F25" s="1"/>
      <c r="G25" s="1"/>
      <c r="H25" s="1"/>
      <c r="I25" s="1"/>
      <c r="J25" s="1"/>
    </row>
    <row r="26" spans="1:10">
      <c r="A26" s="1" t="s">
        <v>23</v>
      </c>
      <c r="B26" s="10">
        <v>2000</v>
      </c>
      <c r="C26" s="18"/>
      <c r="D26" s="1"/>
      <c r="E26" s="1"/>
      <c r="F26" s="1"/>
      <c r="G26" s="1"/>
      <c r="H26" s="1"/>
      <c r="I26" s="1"/>
      <c r="J26" s="1"/>
    </row>
    <row r="27" spans="1:10">
      <c r="A27" s="1" t="s">
        <v>27</v>
      </c>
      <c r="B27" s="10">
        <v>1100</v>
      </c>
      <c r="C27" s="18"/>
      <c r="D27" s="1"/>
      <c r="E27" s="1"/>
      <c r="F27" s="1"/>
      <c r="G27" s="1"/>
      <c r="H27" s="1"/>
      <c r="I27" s="1"/>
      <c r="J27" s="1"/>
    </row>
    <row r="28" spans="1:10">
      <c r="A28" s="1" t="s">
        <v>65</v>
      </c>
      <c r="B28" s="10">
        <v>500</v>
      </c>
      <c r="C28" s="18"/>
      <c r="D28" s="1"/>
      <c r="E28" s="1"/>
      <c r="F28" s="1"/>
      <c r="G28" s="1"/>
      <c r="H28" s="1"/>
      <c r="I28" s="1"/>
      <c r="J28" s="1"/>
    </row>
    <row r="29" spans="1:10">
      <c r="A29" s="1" t="s">
        <v>66</v>
      </c>
      <c r="B29" s="10">
        <v>500</v>
      </c>
      <c r="C29" s="18"/>
      <c r="D29" s="1"/>
      <c r="E29" s="1"/>
      <c r="F29" s="1"/>
      <c r="G29" s="1"/>
      <c r="H29" s="1"/>
      <c r="I29" s="1"/>
      <c r="J29" s="1"/>
    </row>
    <row r="30" spans="1:10">
      <c r="A30" s="1" t="s">
        <v>98</v>
      </c>
      <c r="B30" s="10">
        <v>1100</v>
      </c>
      <c r="C30" s="18"/>
      <c r="D30" s="1"/>
      <c r="E30" s="1"/>
      <c r="F30" s="1"/>
      <c r="G30" s="1"/>
      <c r="H30" s="1"/>
      <c r="I30" s="1"/>
      <c r="J30" s="1"/>
    </row>
    <row r="31" spans="1:10">
      <c r="A31" s="1" t="s">
        <v>24</v>
      </c>
      <c r="B31" s="10">
        <v>500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2" t="s">
        <v>14</v>
      </c>
      <c r="B32" s="2">
        <f>SUM(B25:B31)</f>
        <v>8700</v>
      </c>
      <c r="C32" s="18"/>
      <c r="D32" s="1"/>
      <c r="E32" s="1"/>
      <c r="F32" s="1"/>
      <c r="G32" s="1"/>
      <c r="H32" s="1"/>
      <c r="I32" s="1"/>
      <c r="J32" s="1"/>
    </row>
    <row r="33" spans="3:10">
      <c r="C33" s="1"/>
      <c r="D33" s="1"/>
      <c r="E33" s="1"/>
      <c r="F33" s="1"/>
      <c r="G33" s="1"/>
      <c r="H33" s="1"/>
      <c r="I33" s="1"/>
      <c r="J33" s="1"/>
    </row>
    <row r="34" spans="3:10">
      <c r="C34" s="1"/>
      <c r="D34" s="1"/>
      <c r="E34" s="1"/>
      <c r="F34" s="1"/>
      <c r="G34" s="1"/>
      <c r="H34" s="1"/>
      <c r="I34" s="1"/>
      <c r="J34" s="1"/>
    </row>
    <row r="35" spans="3:10">
      <c r="D35" s="1"/>
      <c r="E35" s="1"/>
      <c r="F35" s="1"/>
      <c r="G35" s="1"/>
      <c r="H35" s="1"/>
      <c r="I35" s="1"/>
      <c r="J35" s="1"/>
    </row>
    <row r="36" spans="3:10">
      <c r="D36" s="1"/>
      <c r="E36" s="1"/>
      <c r="F36" s="1"/>
      <c r="G36" s="1"/>
      <c r="H36" s="1"/>
      <c r="I36" s="1"/>
      <c r="J36" s="1"/>
    </row>
    <row r="37" spans="3:10">
      <c r="D37" s="1"/>
      <c r="E37" s="1"/>
      <c r="F37" s="1"/>
      <c r="G37" s="1"/>
      <c r="H37" s="1"/>
      <c r="I37" s="1"/>
      <c r="J37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E072-DA66-47E9-9A43-2874DB9BCAF9}">
  <dimension ref="A2:L37"/>
  <sheetViews>
    <sheetView topLeftCell="A2" zoomScale="130" zoomScaleNormal="130" workbookViewId="0">
      <selection activeCell="D20" sqref="D20"/>
    </sheetView>
  </sheetViews>
  <sheetFormatPr defaultRowHeight="15"/>
  <cols>
    <col min="1" max="1" width="21.85546875" customWidth="1"/>
    <col min="2" max="2" width="20.7109375" customWidth="1"/>
    <col min="3" max="3" width="11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42000+2700+1500</f>
        <v>46200</v>
      </c>
      <c r="B6" s="13">
        <f>Tabela1101418222630343842465054586266707478828690[ENTRADA]*3/100</f>
        <v>1386</v>
      </c>
      <c r="C6" s="13">
        <f>Tabela1101418222630343842465054586266707478828690[ENTRADA]*10/100</f>
        <v>4620</v>
      </c>
      <c r="D6" s="11">
        <f>Tabela1101418222630343842465054586266707478828690[ENTRADA]-(Tabela1101418222630343842465054586266707478828690[INSS 3%]+Tabela1101418222630343842465054586266707478828690[DIZIMO 10%])</f>
        <v>40194</v>
      </c>
      <c r="E6" s="8">
        <f>Tabela1101418222630343842465054586266707478828690[Renda 87%]-(B11+B21+B31)</f>
        <v>10764</v>
      </c>
      <c r="F6" s="11"/>
      <c r="G6" s="11"/>
      <c r="H6" s="11"/>
      <c r="I6" s="7">
        <f>B11+B21+B31</f>
        <v>29430</v>
      </c>
      <c r="J6" s="9">
        <f>Tabela1101418222630343842465054586266707478828690[Sando Final]+I6</f>
        <v>40194</v>
      </c>
    </row>
    <row r="7" spans="1:12" ht="31.5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92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87</v>
      </c>
      <c r="B9" s="15">
        <v>600</v>
      </c>
      <c r="C9" s="18"/>
      <c r="D9" s="1"/>
      <c r="E9" s="1"/>
      <c r="F9" s="1"/>
      <c r="G9" s="1"/>
      <c r="H9" s="1"/>
      <c r="I9" s="1"/>
      <c r="J9" s="1"/>
      <c r="L9" s="19"/>
    </row>
    <row r="10" spans="1:12">
      <c r="A10" s="21" t="s">
        <v>95</v>
      </c>
      <c r="B10" s="21">
        <v>4000</v>
      </c>
      <c r="C10" s="22"/>
      <c r="D10" s="1"/>
      <c r="E10" s="1"/>
      <c r="F10" s="1"/>
      <c r="G10" s="1"/>
      <c r="H10" s="1"/>
      <c r="I10" s="1"/>
      <c r="J10" s="1"/>
      <c r="L10" s="19"/>
    </row>
    <row r="11" spans="1:12">
      <c r="A11" s="2" t="s">
        <v>14</v>
      </c>
      <c r="B11" s="2">
        <f>SUM(B9:B10)</f>
        <v>4600</v>
      </c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1"/>
      <c r="B12" s="20"/>
      <c r="C12" s="1"/>
      <c r="D12" s="1"/>
      <c r="E12" s="1"/>
      <c r="F12" s="1"/>
      <c r="G12" s="1"/>
      <c r="H12" s="1"/>
      <c r="I12" s="1"/>
      <c r="J12" s="1"/>
    </row>
    <row r="13" spans="1:12">
      <c r="A13" s="4" t="s">
        <v>15</v>
      </c>
      <c r="B13" s="4" t="s">
        <v>10</v>
      </c>
      <c r="C13" s="1"/>
      <c r="D13" s="1"/>
      <c r="E13" s="1"/>
      <c r="F13" s="1"/>
      <c r="G13" s="1"/>
      <c r="H13" s="1"/>
      <c r="I13" s="1"/>
      <c r="J13" s="1"/>
    </row>
    <row r="14" spans="1:12">
      <c r="A14" s="1" t="s">
        <v>16</v>
      </c>
      <c r="B14" s="10">
        <v>5000</v>
      </c>
      <c r="C14" s="1"/>
      <c r="D14" s="1"/>
      <c r="E14" s="1"/>
      <c r="F14" s="1"/>
      <c r="G14" s="1"/>
      <c r="H14" s="1"/>
      <c r="I14" s="1"/>
      <c r="J14" s="1"/>
    </row>
    <row r="15" spans="1:12">
      <c r="A15" s="1" t="s">
        <v>17</v>
      </c>
      <c r="B15" s="10">
        <v>600</v>
      </c>
      <c r="C15" s="1"/>
      <c r="D15" s="1"/>
      <c r="E15" s="1"/>
      <c r="F15" s="1"/>
      <c r="G15" s="1"/>
      <c r="H15" s="1"/>
      <c r="I15" s="1"/>
      <c r="J15" s="1"/>
    </row>
    <row r="16" spans="1:12">
      <c r="A16" s="1" t="s">
        <v>41</v>
      </c>
      <c r="B16" s="10">
        <v>1380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19</v>
      </c>
      <c r="B17" s="10">
        <v>500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20</v>
      </c>
      <c r="B18" s="10">
        <v>650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63</v>
      </c>
      <c r="B19" s="10">
        <v>1500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64</v>
      </c>
      <c r="B20" s="10">
        <v>1500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2" t="s">
        <v>14</v>
      </c>
      <c r="B21" s="2">
        <f>SUM(B14:B20)</f>
        <v>11130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5" t="s">
        <v>22</v>
      </c>
      <c r="B23" s="6" t="s">
        <v>10</v>
      </c>
      <c r="C23" s="4" t="s">
        <v>79</v>
      </c>
      <c r="D23" s="1"/>
      <c r="E23" s="1"/>
      <c r="F23" s="1"/>
      <c r="G23" s="1"/>
      <c r="H23" s="1"/>
      <c r="I23" s="1"/>
      <c r="J23" s="1"/>
    </row>
    <row r="24" spans="1:10">
      <c r="A24" s="1" t="s">
        <v>26</v>
      </c>
      <c r="B24" s="10">
        <v>7000</v>
      </c>
      <c r="C24" s="18"/>
      <c r="D24" s="1"/>
      <c r="E24" s="1"/>
      <c r="F24" s="1"/>
      <c r="G24" s="1"/>
      <c r="H24" s="1"/>
      <c r="I24" s="1"/>
      <c r="J24" s="1"/>
    </row>
    <row r="25" spans="1:10">
      <c r="A25" s="1" t="s">
        <v>23</v>
      </c>
      <c r="B25" s="10">
        <v>1000</v>
      </c>
      <c r="C25" s="18"/>
      <c r="D25" s="1"/>
      <c r="E25" s="1"/>
      <c r="F25" s="1"/>
      <c r="G25" s="1"/>
      <c r="H25" s="1"/>
      <c r="I25" s="1"/>
      <c r="J25" s="1"/>
    </row>
    <row r="26" spans="1:10">
      <c r="A26" s="1" t="s">
        <v>27</v>
      </c>
      <c r="B26" s="10">
        <v>4500</v>
      </c>
      <c r="C26" s="18"/>
      <c r="D26" s="1"/>
      <c r="E26" s="1"/>
      <c r="F26" s="1"/>
      <c r="G26" s="1"/>
      <c r="H26" s="1"/>
      <c r="I26" s="1"/>
      <c r="J26" s="1"/>
    </row>
    <row r="27" spans="1:10">
      <c r="A27" s="1" t="s">
        <v>65</v>
      </c>
      <c r="B27" s="10">
        <v>500</v>
      </c>
      <c r="C27" s="18"/>
      <c r="D27" s="1"/>
      <c r="E27" s="1"/>
      <c r="F27" s="1"/>
      <c r="G27" s="1"/>
      <c r="H27" s="1"/>
      <c r="I27" s="1"/>
      <c r="J27" s="1"/>
    </row>
    <row r="28" spans="1:10">
      <c r="A28" s="1" t="s">
        <v>66</v>
      </c>
      <c r="B28" s="10">
        <v>0</v>
      </c>
      <c r="C28" s="18"/>
      <c r="D28" s="1"/>
      <c r="E28" s="1"/>
      <c r="F28" s="1"/>
      <c r="G28" s="1"/>
      <c r="H28" s="1"/>
      <c r="I28" s="1"/>
      <c r="J28" s="1"/>
    </row>
    <row r="29" spans="1:10">
      <c r="A29" s="1" t="s">
        <v>98</v>
      </c>
      <c r="B29" s="10">
        <v>200</v>
      </c>
      <c r="C29" s="18"/>
      <c r="D29" s="1"/>
      <c r="E29" s="1"/>
      <c r="F29" s="1"/>
      <c r="G29" s="1"/>
      <c r="H29" s="1"/>
      <c r="I29" s="1"/>
      <c r="J29" s="1"/>
    </row>
    <row r="30" spans="1:10">
      <c r="A30" s="1" t="s">
        <v>24</v>
      </c>
      <c r="B30" s="10">
        <v>500</v>
      </c>
      <c r="C30" s="18"/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SUM(B24:B30)</f>
        <v>13700</v>
      </c>
      <c r="C31" s="18"/>
      <c r="D31" s="1"/>
      <c r="E31" s="1"/>
      <c r="F31" s="1"/>
      <c r="G31" s="1"/>
      <c r="H31" s="1"/>
      <c r="I31" s="1"/>
      <c r="J31" s="1"/>
    </row>
    <row r="32" spans="1:10">
      <c r="C32" s="1"/>
      <c r="D32" s="1"/>
      <c r="E32" s="1"/>
      <c r="F32" s="1"/>
      <c r="G32" s="1"/>
      <c r="H32" s="1"/>
      <c r="I32" s="1"/>
      <c r="J32" s="1"/>
    </row>
    <row r="33" spans="3:10">
      <c r="C33" s="1"/>
      <c r="D33" s="1"/>
      <c r="E33" s="1"/>
      <c r="F33" s="1"/>
      <c r="G33" s="1"/>
      <c r="H33" s="1"/>
      <c r="I33" s="1"/>
      <c r="J33" s="1"/>
    </row>
    <row r="34" spans="3:10">
      <c r="D34" s="1"/>
      <c r="E34" s="1"/>
      <c r="F34" s="1"/>
      <c r="G34" s="1"/>
      <c r="H34" s="1"/>
      <c r="I34" s="1"/>
      <c r="J34" s="1"/>
    </row>
    <row r="35" spans="3:10">
      <c r="D35" s="1"/>
      <c r="E35" s="1"/>
      <c r="F35" s="1"/>
      <c r="G35" s="1"/>
      <c r="H35" s="1"/>
      <c r="I35" s="1"/>
      <c r="J35" s="1"/>
    </row>
    <row r="36" spans="3:10">
      <c r="D36" s="1"/>
      <c r="E36" s="1"/>
      <c r="F36" s="1"/>
      <c r="G36" s="1"/>
      <c r="H36" s="1"/>
      <c r="I36" s="1"/>
      <c r="J36" s="1"/>
    </row>
    <row r="37" spans="3:10">
      <c r="D37" s="1"/>
      <c r="E37" s="1"/>
      <c r="F37" s="1"/>
      <c r="G37" s="1"/>
      <c r="H37" s="1"/>
      <c r="I37" s="1"/>
      <c r="J37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8611E-420C-4C33-9E76-AE50B8F1DBAB}">
  <dimension ref="A2:L39"/>
  <sheetViews>
    <sheetView topLeftCell="A7" zoomScale="130" zoomScaleNormal="130" workbookViewId="0">
      <selection activeCell="A7" sqref="A7:H7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42000+2700+1500</f>
        <v>46200</v>
      </c>
      <c r="B6" s="13">
        <f>Tabela110141822263034384246505458626670747882869094[ENTRADA]*3/100</f>
        <v>1386</v>
      </c>
      <c r="C6" s="13">
        <f>Tabela110141822263034384246505458626670747882869094[ENTRADA]*10/100</f>
        <v>4620</v>
      </c>
      <c r="D6" s="11">
        <f>Tabela110141822263034384246505458626670747882869094[ENTRADA]-(Tabela110141822263034384246505458626670747882869094[INSS 3%]+Tabela110141822263034384246505458626670747882869094[DIZIMO 10%])</f>
        <v>40194</v>
      </c>
      <c r="E6" s="8">
        <f>Tabela110141822263034384246505458626670747882869094[Renda 87%]-(B14+B24+B33)</f>
        <v>7014</v>
      </c>
      <c r="F6" s="11"/>
      <c r="G6" s="11"/>
      <c r="H6" s="11"/>
      <c r="I6" s="7">
        <f>B14+B24+B33</f>
        <v>33180</v>
      </c>
      <c r="J6" s="9">
        <f>Tabela110141822263034384246505458626670747882869094[Sando Final]+I6</f>
        <v>40194</v>
      </c>
    </row>
    <row r="7" spans="1:12" ht="31.5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92</v>
      </c>
      <c r="D8" s="1"/>
      <c r="E8" s="1"/>
      <c r="F8" s="1"/>
      <c r="G8" s="1"/>
      <c r="H8" s="1"/>
      <c r="I8" s="1"/>
      <c r="J8" s="1"/>
      <c r="L8" s="19"/>
    </row>
    <row r="9" spans="1:12">
      <c r="A9" s="3" t="s">
        <v>99</v>
      </c>
      <c r="B9" s="4">
        <v>200</v>
      </c>
      <c r="C9" s="4"/>
      <c r="D9" s="1"/>
      <c r="E9" s="1"/>
      <c r="F9" s="1"/>
      <c r="G9" s="1"/>
      <c r="H9" s="1"/>
      <c r="I9" s="1"/>
      <c r="J9" s="1"/>
      <c r="L9" s="19"/>
    </row>
    <row r="10" spans="1:12">
      <c r="A10" s="3" t="s">
        <v>100</v>
      </c>
      <c r="B10" s="4">
        <v>200</v>
      </c>
      <c r="C10" s="4"/>
      <c r="D10" s="1"/>
      <c r="E10" s="1"/>
      <c r="F10" s="1"/>
      <c r="G10" s="1"/>
      <c r="H10" s="1"/>
      <c r="I10" s="1"/>
      <c r="J10" s="1"/>
      <c r="L10" s="19"/>
    </row>
    <row r="11" spans="1:12">
      <c r="A11" s="3" t="s">
        <v>97</v>
      </c>
      <c r="B11" s="4">
        <v>1000</v>
      </c>
      <c r="C11" s="4"/>
      <c r="D11" s="1"/>
      <c r="E11" s="1"/>
      <c r="F11" s="1"/>
      <c r="G11" s="1"/>
      <c r="H11" s="1"/>
      <c r="I11" s="1"/>
      <c r="J11" s="1"/>
      <c r="L11" s="19"/>
    </row>
    <row r="12" spans="1:12">
      <c r="A12" s="4" t="s">
        <v>87</v>
      </c>
      <c r="B12" s="15">
        <v>650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21" t="s">
        <v>95</v>
      </c>
      <c r="B13" s="21">
        <v>4000</v>
      </c>
      <c r="C13" s="22"/>
      <c r="D13" s="1"/>
      <c r="E13" s="1"/>
      <c r="F13" s="1"/>
      <c r="G13" s="1"/>
      <c r="H13" s="1"/>
      <c r="I13" s="1"/>
      <c r="J13" s="1"/>
      <c r="L13" s="19"/>
    </row>
    <row r="14" spans="1:12">
      <c r="A14" s="2" t="s">
        <v>14</v>
      </c>
      <c r="B14" s="2">
        <f>SUM(B9:B13)</f>
        <v>6050</v>
      </c>
      <c r="C14" s="18"/>
      <c r="D14" s="1"/>
      <c r="E14" s="1"/>
      <c r="F14" s="1"/>
      <c r="G14" s="1"/>
      <c r="H14" s="1"/>
      <c r="I14" s="1"/>
      <c r="J14" s="1"/>
      <c r="L14" s="19"/>
    </row>
    <row r="15" spans="1:12">
      <c r="A15" s="1"/>
      <c r="B15" s="20"/>
      <c r="C15" s="1"/>
      <c r="D15" s="1"/>
      <c r="E15" s="1"/>
      <c r="F15" s="1"/>
      <c r="G15" s="1"/>
      <c r="H15" s="1"/>
      <c r="I15" s="1"/>
      <c r="J15" s="1"/>
    </row>
    <row r="16" spans="1:12">
      <c r="A16" s="4" t="s">
        <v>15</v>
      </c>
      <c r="B16" s="4" t="s">
        <v>10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16</v>
      </c>
      <c r="B17" s="10">
        <v>5000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17</v>
      </c>
      <c r="B18" s="10">
        <v>600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41</v>
      </c>
      <c r="B19" s="10">
        <v>1380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19</v>
      </c>
      <c r="B20" s="10">
        <v>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20</v>
      </c>
      <c r="B21" s="10">
        <v>650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63</v>
      </c>
      <c r="B22" s="10">
        <v>1500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 t="s">
        <v>64</v>
      </c>
      <c r="B23" s="10">
        <v>6500</v>
      </c>
      <c r="C23" s="1"/>
      <c r="D23" s="1"/>
      <c r="E23" s="1"/>
      <c r="F23" s="1"/>
      <c r="G23" s="1"/>
      <c r="H23" s="1"/>
      <c r="I23" s="1"/>
      <c r="J23" s="1"/>
    </row>
    <row r="24" spans="1:10">
      <c r="A24" s="2" t="s">
        <v>14</v>
      </c>
      <c r="B24" s="2">
        <f>SUM(B17:B23)</f>
        <v>16130</v>
      </c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5" t="s">
        <v>22</v>
      </c>
      <c r="B26" s="6" t="s">
        <v>10</v>
      </c>
      <c r="C26" s="4" t="s">
        <v>79</v>
      </c>
      <c r="D26" s="1"/>
      <c r="E26" s="1"/>
      <c r="F26" s="1"/>
      <c r="G26" s="1"/>
      <c r="H26" s="1"/>
      <c r="I26" s="1"/>
      <c r="J26" s="1"/>
    </row>
    <row r="27" spans="1:10">
      <c r="A27" s="1" t="s">
        <v>26</v>
      </c>
      <c r="B27" s="10">
        <v>6000</v>
      </c>
      <c r="C27" s="18"/>
      <c r="D27" s="1"/>
      <c r="E27" s="1"/>
      <c r="F27" s="1"/>
      <c r="G27" s="1"/>
      <c r="H27" s="1"/>
      <c r="I27" s="1"/>
      <c r="J27" s="1"/>
    </row>
    <row r="28" spans="1:10">
      <c r="A28" s="1" t="s">
        <v>23</v>
      </c>
      <c r="B28" s="10">
        <v>2000</v>
      </c>
      <c r="C28" s="18"/>
      <c r="D28" s="1"/>
      <c r="E28" s="1"/>
      <c r="F28" s="1"/>
      <c r="G28" s="1"/>
      <c r="H28" s="1"/>
      <c r="I28" s="1"/>
      <c r="J28" s="1"/>
    </row>
    <row r="29" spans="1:10">
      <c r="A29" s="1" t="s">
        <v>27</v>
      </c>
      <c r="B29" s="10">
        <v>1000</v>
      </c>
      <c r="C29" s="18"/>
      <c r="D29" s="1"/>
      <c r="E29" s="1"/>
      <c r="F29" s="1"/>
      <c r="G29" s="1"/>
      <c r="H29" s="1"/>
      <c r="I29" s="1"/>
      <c r="J29" s="1"/>
    </row>
    <row r="30" spans="1:10">
      <c r="A30" s="1" t="s">
        <v>65</v>
      </c>
      <c r="B30" s="10">
        <v>500</v>
      </c>
      <c r="C30" s="18"/>
      <c r="D30" s="1"/>
      <c r="E30" s="1"/>
      <c r="F30" s="1"/>
      <c r="G30" s="1"/>
      <c r="H30" s="1"/>
      <c r="I30" s="1"/>
      <c r="J30" s="1"/>
    </row>
    <row r="31" spans="1:10">
      <c r="A31" s="1" t="s">
        <v>98</v>
      </c>
      <c r="B31" s="10">
        <v>1000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 t="s">
        <v>24</v>
      </c>
      <c r="B32" s="10">
        <v>500</v>
      </c>
      <c r="C32" s="18"/>
      <c r="D32" s="1"/>
      <c r="E32" s="1"/>
      <c r="F32" s="1"/>
      <c r="G32" s="1"/>
      <c r="H32" s="1"/>
      <c r="I32" s="1"/>
      <c r="J32" s="1"/>
    </row>
    <row r="33" spans="1:10">
      <c r="A33" s="2" t="s">
        <v>14</v>
      </c>
      <c r="B33" s="2">
        <f>SUM(B27:B32)</f>
        <v>11000</v>
      </c>
      <c r="C33" s="18"/>
      <c r="D33" s="1"/>
      <c r="E33" s="1"/>
      <c r="F33" s="1"/>
      <c r="G33" s="1"/>
      <c r="H33" s="1"/>
      <c r="I33" s="1"/>
      <c r="J33" s="1"/>
    </row>
    <row r="34" spans="1:10">
      <c r="C34" s="1"/>
      <c r="D34" s="1"/>
      <c r="E34" s="1"/>
      <c r="F34" s="1"/>
      <c r="G34" s="1"/>
      <c r="H34" s="1"/>
      <c r="I34" s="1"/>
      <c r="J34" s="1"/>
    </row>
    <row r="35" spans="1:10">
      <c r="C35" s="1"/>
      <c r="D35" s="1"/>
      <c r="E35" s="1"/>
      <c r="F35" s="1"/>
      <c r="G35" s="1"/>
      <c r="H35" s="1"/>
      <c r="I35" s="1"/>
      <c r="J35" s="1"/>
    </row>
    <row r="36" spans="1:10">
      <c r="D36" s="1"/>
      <c r="E36" s="1"/>
      <c r="F36" s="1"/>
      <c r="G36" s="1"/>
      <c r="H36" s="1"/>
      <c r="I36" s="1"/>
      <c r="J36" s="1"/>
    </row>
    <row r="37" spans="1:10">
      <c r="D37" s="1"/>
      <c r="E37" s="1"/>
      <c r="F37" s="1"/>
      <c r="G37" s="1"/>
      <c r="H37" s="1"/>
      <c r="I37" s="1"/>
      <c r="J37" s="1"/>
    </row>
    <row r="38" spans="1:10">
      <c r="D38" s="1"/>
      <c r="E38" s="1"/>
      <c r="F38" s="1"/>
      <c r="G38" s="1"/>
      <c r="H38" s="1"/>
      <c r="I38" s="1"/>
      <c r="J38" s="1"/>
    </row>
    <row r="39" spans="1:10">
      <c r="D39" s="1"/>
      <c r="E39" s="1"/>
      <c r="F39" s="1"/>
      <c r="G39" s="1"/>
      <c r="H39" s="1"/>
      <c r="I39" s="1"/>
      <c r="J39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27124-4BEB-4755-90E1-9308472C463D}">
  <dimension ref="A2:L35"/>
  <sheetViews>
    <sheetView topLeftCell="A6" zoomScale="130" zoomScaleNormal="130" workbookViewId="0">
      <selection activeCell="C23" sqref="C23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46200+2000+2975</f>
        <v>51175</v>
      </c>
      <c r="B6" s="13">
        <f>Tabela11014182226303438424650545862667074788286909498[ENTRADA]*3/100</f>
        <v>1535.25</v>
      </c>
      <c r="C6" s="13">
        <f>Tabela11014182226303438424650545862667074788286909498[ENTRADA]*10/100</f>
        <v>5117.5</v>
      </c>
      <c r="D6" s="11">
        <f>Tabela11014182226303438424650545862667074788286909498[ENTRADA]-(Tabela11014182226303438424650545862667074788286909498[INSS 3%]+Tabela11014182226303438424650545862667074788286909498[DIZIMO 10%])</f>
        <v>44522.25</v>
      </c>
      <c r="E6" s="8">
        <f>Tabela11014182226303438424650545862667074788286909498[Renda 87%]-(B10+B20+B29)</f>
        <v>19142.25</v>
      </c>
      <c r="F6" s="11"/>
      <c r="G6" s="11"/>
      <c r="H6" s="11"/>
      <c r="I6" s="7">
        <f>B10+B20+B29</f>
        <v>25380</v>
      </c>
      <c r="J6" s="9">
        <f>Tabela11014182226303438424650545862667074788286909498[Sando Final]+I6</f>
        <v>44522.25</v>
      </c>
    </row>
    <row r="7" spans="1:12" ht="31.5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21" t="s">
        <v>95</v>
      </c>
      <c r="B9" s="21">
        <v>4000</v>
      </c>
      <c r="C9" s="22"/>
      <c r="D9" s="1"/>
      <c r="E9" s="1"/>
      <c r="F9" s="1"/>
      <c r="G9" s="1"/>
      <c r="H9" s="1"/>
      <c r="I9" s="1"/>
      <c r="J9" s="1"/>
      <c r="L9" s="19"/>
    </row>
    <row r="10" spans="1:12">
      <c r="A10" s="2" t="s">
        <v>14</v>
      </c>
      <c r="B10" s="2">
        <f>SUM(B9:B9)</f>
        <v>4000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1"/>
      <c r="B11" s="20"/>
      <c r="C11" s="1"/>
      <c r="D11" s="1"/>
      <c r="E11" s="1"/>
      <c r="F11" s="1"/>
      <c r="G11" s="1"/>
      <c r="H11" s="1"/>
      <c r="I11" s="1"/>
      <c r="J11" s="1"/>
    </row>
    <row r="12" spans="1:12">
      <c r="A12" s="4" t="s">
        <v>15</v>
      </c>
      <c r="B12" s="4" t="s">
        <v>10</v>
      </c>
      <c r="C12" s="1"/>
      <c r="D12" s="1"/>
      <c r="E12" s="1"/>
      <c r="F12" s="1"/>
      <c r="G12" s="1"/>
      <c r="H12" s="1"/>
      <c r="I12" s="1"/>
      <c r="J12" s="1"/>
    </row>
    <row r="13" spans="1:12">
      <c r="A13" s="1" t="s">
        <v>16</v>
      </c>
      <c r="B13" s="10">
        <v>5000</v>
      </c>
      <c r="C13" s="1"/>
      <c r="D13" s="1"/>
      <c r="E13" s="1"/>
      <c r="F13" s="1"/>
      <c r="G13" s="1"/>
      <c r="H13" s="1"/>
      <c r="I13" s="1"/>
      <c r="J13" s="1"/>
    </row>
    <row r="14" spans="1:12">
      <c r="A14" s="1" t="s">
        <v>17</v>
      </c>
      <c r="B14" s="10">
        <v>600</v>
      </c>
      <c r="C14" s="1"/>
      <c r="D14" s="1"/>
      <c r="E14" s="1"/>
      <c r="F14" s="1"/>
      <c r="G14" s="1"/>
      <c r="H14" s="1"/>
      <c r="I14" s="1"/>
      <c r="J14" s="1"/>
    </row>
    <row r="15" spans="1:12">
      <c r="A15" s="1" t="s">
        <v>41</v>
      </c>
      <c r="B15" s="10">
        <v>1380</v>
      </c>
      <c r="C15" s="1"/>
      <c r="D15" s="1"/>
      <c r="E15" s="1"/>
      <c r="F15" s="1"/>
      <c r="G15" s="1"/>
      <c r="H15" s="1"/>
      <c r="I15" s="1"/>
      <c r="J15" s="1"/>
    </row>
    <row r="16" spans="1:12">
      <c r="A16" s="1" t="s">
        <v>19</v>
      </c>
      <c r="B16" s="10">
        <v>500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20</v>
      </c>
      <c r="B17" s="10">
        <v>650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63</v>
      </c>
      <c r="B18" s="10">
        <v>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64</v>
      </c>
      <c r="B19" s="10">
        <v>3250</v>
      </c>
      <c r="C19" s="1"/>
      <c r="D19" s="1"/>
      <c r="E19" s="1"/>
      <c r="F19" s="1"/>
      <c r="G19" s="1"/>
      <c r="H19" s="1"/>
      <c r="I19" s="1"/>
      <c r="J19" s="1"/>
    </row>
    <row r="20" spans="1:10">
      <c r="A20" s="2" t="s">
        <v>14</v>
      </c>
      <c r="B20" s="2">
        <f>SUM(B13:B19)</f>
        <v>11380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5" t="s">
        <v>22</v>
      </c>
      <c r="B22" s="6" t="s">
        <v>10</v>
      </c>
      <c r="C22" s="4" t="s">
        <v>101</v>
      </c>
      <c r="D22" s="1"/>
      <c r="E22" s="1"/>
      <c r="F22" s="1"/>
      <c r="G22" s="1"/>
      <c r="H22" s="1"/>
      <c r="I22" s="1"/>
      <c r="J22" s="1"/>
    </row>
    <row r="23" spans="1:10">
      <c r="A23" s="1" t="s">
        <v>26</v>
      </c>
      <c r="B23" s="10">
        <v>6000</v>
      </c>
      <c r="C23" s="18"/>
      <c r="D23" s="1"/>
      <c r="E23" s="1"/>
      <c r="F23" s="1"/>
      <c r="G23" s="1"/>
      <c r="H23" s="1"/>
      <c r="I23" s="1"/>
      <c r="J23" s="1"/>
    </row>
    <row r="24" spans="1:10">
      <c r="A24" s="1" t="s">
        <v>23</v>
      </c>
      <c r="B24" s="10">
        <v>2000</v>
      </c>
      <c r="C24" s="18"/>
      <c r="D24" s="1"/>
      <c r="E24" s="1"/>
      <c r="F24" s="1"/>
      <c r="G24" s="1"/>
      <c r="H24" s="1"/>
      <c r="I24" s="1"/>
      <c r="J24" s="1"/>
    </row>
    <row r="25" spans="1:10">
      <c r="A25" s="1" t="s">
        <v>27</v>
      </c>
      <c r="B25" s="10">
        <v>1000</v>
      </c>
      <c r="C25" s="18"/>
      <c r="D25" s="1"/>
      <c r="E25" s="1"/>
      <c r="F25" s="1"/>
      <c r="G25" s="1"/>
      <c r="H25" s="1"/>
      <c r="I25" s="1"/>
      <c r="J25" s="1"/>
    </row>
    <row r="26" spans="1:10">
      <c r="A26" s="1" t="s">
        <v>65</v>
      </c>
      <c r="B26" s="10">
        <v>500</v>
      </c>
      <c r="C26" s="18"/>
      <c r="D26" s="1"/>
      <c r="E26" s="1"/>
      <c r="F26" s="1"/>
      <c r="G26" s="1"/>
      <c r="H26" s="1"/>
      <c r="I26" s="1"/>
      <c r="J26" s="1"/>
    </row>
    <row r="27" spans="1:10">
      <c r="A27" s="23" t="s">
        <v>98</v>
      </c>
      <c r="B27" s="23"/>
      <c r="C27" s="24"/>
      <c r="D27" s="1"/>
      <c r="E27" s="1"/>
      <c r="F27" s="1"/>
      <c r="G27" s="1"/>
      <c r="H27" s="1"/>
      <c r="I27" s="1"/>
      <c r="J27" s="1"/>
    </row>
    <row r="28" spans="1:10">
      <c r="A28" s="1" t="s">
        <v>24</v>
      </c>
      <c r="B28" s="10">
        <v>500</v>
      </c>
      <c r="C28" s="18"/>
      <c r="D28" s="1"/>
      <c r="E28" s="1"/>
      <c r="F28" s="1"/>
      <c r="G28" s="1"/>
      <c r="H28" s="1"/>
      <c r="I28" s="1"/>
      <c r="J28" s="1"/>
    </row>
    <row r="29" spans="1:10">
      <c r="A29" s="2" t="s">
        <v>14</v>
      </c>
      <c r="B29" s="2">
        <f>SUM(B23:B28)</f>
        <v>10000</v>
      </c>
      <c r="C29" s="18"/>
      <c r="D29" s="1"/>
      <c r="E29" s="1"/>
      <c r="F29" s="1"/>
      <c r="G29" s="1"/>
      <c r="H29" s="1"/>
      <c r="I29" s="1"/>
      <c r="J29" s="1"/>
    </row>
    <row r="30" spans="1:10">
      <c r="C30" s="1"/>
      <c r="D30" s="1"/>
      <c r="E30" s="1"/>
      <c r="F30" s="1"/>
      <c r="G30" s="1"/>
      <c r="H30" s="1"/>
      <c r="I30" s="1"/>
      <c r="J30" s="1"/>
    </row>
    <row r="31" spans="1:10">
      <c r="C31" s="1"/>
      <c r="D31" s="1"/>
      <c r="E31" s="1"/>
      <c r="F31" s="1"/>
      <c r="G31" s="1"/>
      <c r="H31" s="1"/>
      <c r="I31" s="1"/>
      <c r="J31" s="1"/>
    </row>
    <row r="32" spans="1:10">
      <c r="D32" s="1"/>
      <c r="E32" s="1"/>
      <c r="F32" s="1"/>
      <c r="G32" s="1"/>
      <c r="H32" s="1"/>
      <c r="I32" s="1"/>
      <c r="J32" s="1"/>
    </row>
    <row r="33" spans="4:10">
      <c r="D33" s="1"/>
      <c r="E33" s="1"/>
      <c r="F33" s="1"/>
      <c r="G33" s="1"/>
      <c r="H33" s="1"/>
      <c r="I33" s="1"/>
      <c r="J33" s="1"/>
    </row>
    <row r="34" spans="4:10">
      <c r="D34" s="1"/>
      <c r="E34" s="1"/>
      <c r="F34" s="1"/>
      <c r="G34" s="1"/>
      <c r="H34" s="1"/>
      <c r="I34" s="1"/>
      <c r="J34" s="1"/>
    </row>
    <row r="35" spans="4:10">
      <c r="D35" s="1"/>
      <c r="E35" s="1"/>
      <c r="F35" s="1"/>
      <c r="G35" s="1"/>
      <c r="H35" s="1"/>
      <c r="I35" s="1"/>
      <c r="J35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40A42-38D3-42C6-A1AC-91FE30EF7612}">
  <dimension ref="A2:L39"/>
  <sheetViews>
    <sheetView topLeftCell="A6" zoomScale="130" zoomScaleNormal="130" workbookViewId="0">
      <selection activeCell="A6" sqref="A6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46200+2000+2975</f>
        <v>51175</v>
      </c>
      <c r="B6" s="13">
        <f>Tabela11014182226303438424650545862667074788286909498102[ENTRADA]*3/100</f>
        <v>1535.25</v>
      </c>
      <c r="C6" s="13">
        <f>Tabela11014182226303438424650545862667074788286909498102[ENTRADA]*10/100</f>
        <v>5117.5</v>
      </c>
      <c r="D6" s="11">
        <f>Tabela11014182226303438424650545862667074788286909498102[ENTRADA]-(Tabela11014182226303438424650545862667074788286909498102[INSS 3%]+Tabela11014182226303438424650545862667074788286909498102[DIZIMO 10%])</f>
        <v>44522.25</v>
      </c>
      <c r="E6" s="8">
        <f>Tabela11014182226303438424650545862667074788286909498102[Renda 87%]-(B12+B25+B33)</f>
        <v>13742.25</v>
      </c>
      <c r="F6" s="11"/>
      <c r="G6" s="11"/>
      <c r="H6" s="11"/>
      <c r="I6" s="7">
        <f>B12+B25+B33</f>
        <v>30780</v>
      </c>
      <c r="J6" s="9">
        <f>Tabela11014182226303438424650545862667074788286909498102[Sando Final]+I6</f>
        <v>44522.25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21" t="s">
        <v>95</v>
      </c>
      <c r="B9" s="21">
        <v>4000</v>
      </c>
      <c r="C9" s="22"/>
      <c r="D9" s="1"/>
      <c r="E9" s="1"/>
      <c r="F9" s="1"/>
      <c r="G9" s="1"/>
      <c r="H9" s="1"/>
      <c r="I9" s="1"/>
      <c r="J9" s="1"/>
      <c r="L9" s="19"/>
    </row>
    <row r="10" spans="1:12">
      <c r="A10" s="21" t="s">
        <v>60</v>
      </c>
      <c r="B10" s="21">
        <v>2500</v>
      </c>
      <c r="C10" s="22"/>
      <c r="D10" s="1"/>
      <c r="E10" s="1"/>
      <c r="F10" s="1"/>
      <c r="G10" s="1"/>
      <c r="H10" s="1"/>
      <c r="I10" s="1"/>
      <c r="J10" s="1"/>
      <c r="L10" s="19"/>
    </row>
    <row r="11" spans="1:12">
      <c r="A11" s="21" t="s">
        <v>90</v>
      </c>
      <c r="B11" s="21">
        <v>1000</v>
      </c>
      <c r="C11" s="22"/>
      <c r="D11" s="1"/>
      <c r="E11" s="1"/>
      <c r="F11" s="1"/>
      <c r="G11" s="1"/>
      <c r="H11" s="1"/>
      <c r="I11" s="1"/>
      <c r="J11" s="1"/>
      <c r="L11" s="19"/>
    </row>
    <row r="12" spans="1:12">
      <c r="A12" s="2" t="s">
        <v>14</v>
      </c>
      <c r="B12" s="2">
        <f>SUM(B10:B11)</f>
        <v>3500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1"/>
      <c r="B13" s="20"/>
      <c r="C13" s="1"/>
      <c r="D13" s="1"/>
      <c r="E13" s="1"/>
      <c r="F13" s="1"/>
      <c r="G13" s="1"/>
      <c r="H13" s="1"/>
      <c r="I13" s="1"/>
      <c r="J13" s="1"/>
    </row>
    <row r="14" spans="1:12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2">
      <c r="A15" s="1" t="s">
        <v>16</v>
      </c>
      <c r="B15" s="10">
        <v>5000</v>
      </c>
      <c r="C15" s="1"/>
      <c r="D15" s="1"/>
      <c r="E15" s="1"/>
      <c r="F15" s="1"/>
      <c r="G15" s="1"/>
      <c r="H15" s="1"/>
      <c r="I15" s="1"/>
      <c r="J15" s="1"/>
    </row>
    <row r="16" spans="1:12">
      <c r="A16" s="1" t="s">
        <v>17</v>
      </c>
      <c r="B16" s="10">
        <v>600</v>
      </c>
      <c r="C16" s="1"/>
      <c r="D16" s="1"/>
      <c r="E16" s="1"/>
      <c r="F16" s="1"/>
      <c r="G16" s="1"/>
      <c r="H16" s="1"/>
      <c r="I16" s="1"/>
      <c r="J16" s="1"/>
    </row>
    <row r="17" spans="1:10">
      <c r="A17" s="1" t="s">
        <v>41</v>
      </c>
      <c r="B17" s="10">
        <v>1380</v>
      </c>
      <c r="C17" s="1"/>
      <c r="D17" s="1"/>
      <c r="E17" s="1"/>
      <c r="F17" s="1"/>
      <c r="G17" s="1"/>
      <c r="H17" s="1"/>
      <c r="I17" s="1"/>
      <c r="J17" s="1"/>
    </row>
    <row r="18" spans="1:10">
      <c r="A18" s="1" t="s">
        <v>19</v>
      </c>
      <c r="B18" s="10">
        <v>500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" t="s">
        <v>20</v>
      </c>
      <c r="B19" s="10">
        <v>650</v>
      </c>
      <c r="C19" s="1"/>
      <c r="D19" s="1"/>
      <c r="E19" s="1"/>
      <c r="F19" s="1"/>
      <c r="G19" s="1"/>
      <c r="H19" s="1"/>
      <c r="I19" s="1"/>
      <c r="J19" s="1"/>
    </row>
    <row r="20" spans="1:10">
      <c r="A20" s="1" t="s">
        <v>63</v>
      </c>
      <c r="B20" s="10">
        <v>4000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102</v>
      </c>
      <c r="B21" s="10">
        <v>2000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103</v>
      </c>
      <c r="B22" s="10">
        <v>1200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 t="s">
        <v>104</v>
      </c>
      <c r="B23" s="10">
        <v>1200</v>
      </c>
      <c r="C23" s="1"/>
      <c r="D23" s="1"/>
      <c r="E23" s="1"/>
      <c r="F23" s="1"/>
      <c r="G23" s="1"/>
      <c r="H23" s="1"/>
      <c r="I23" s="1"/>
      <c r="J23" s="1"/>
    </row>
    <row r="24" spans="1:10">
      <c r="A24" s="1" t="s">
        <v>64</v>
      </c>
      <c r="B24" s="10">
        <v>3250</v>
      </c>
      <c r="C24" s="1"/>
      <c r="D24" s="1"/>
      <c r="E24" s="1"/>
      <c r="F24" s="1"/>
      <c r="G24" s="1"/>
      <c r="H24" s="1"/>
      <c r="I24" s="1"/>
      <c r="J24" s="1"/>
    </row>
    <row r="25" spans="1:10">
      <c r="A25" s="2" t="s">
        <v>14</v>
      </c>
      <c r="B25" s="2">
        <f>SUM(B15:B24)</f>
        <v>19780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5" t="s">
        <v>22</v>
      </c>
      <c r="B27" s="6" t="s">
        <v>10</v>
      </c>
      <c r="C27" s="4" t="s">
        <v>101</v>
      </c>
      <c r="D27" s="1"/>
      <c r="E27" s="1"/>
      <c r="F27" s="1"/>
      <c r="G27" s="1"/>
      <c r="H27" s="1"/>
      <c r="I27" s="1"/>
      <c r="J27" s="1"/>
    </row>
    <row r="28" spans="1:10">
      <c r="A28" s="1" t="s">
        <v>26</v>
      </c>
      <c r="B28" s="10">
        <v>6000</v>
      </c>
      <c r="C28" s="18"/>
      <c r="D28" s="1"/>
      <c r="E28" s="1"/>
      <c r="F28" s="1"/>
      <c r="G28" s="1"/>
      <c r="H28" s="1"/>
      <c r="I28" s="1"/>
      <c r="J28" s="1"/>
    </row>
    <row r="29" spans="1:10">
      <c r="A29" s="1" t="s">
        <v>23</v>
      </c>
      <c r="B29" s="10"/>
      <c r="C29" s="18" t="s">
        <v>79</v>
      </c>
      <c r="D29" s="1"/>
      <c r="E29" s="1"/>
      <c r="F29" s="1"/>
      <c r="G29" s="1"/>
      <c r="H29" s="1"/>
      <c r="I29" s="1"/>
      <c r="J29" s="1"/>
    </row>
    <row r="30" spans="1:10">
      <c r="A30" s="1" t="s">
        <v>27</v>
      </c>
      <c r="B30" s="10">
        <v>1000</v>
      </c>
      <c r="C30" s="18"/>
      <c r="D30" s="1"/>
      <c r="E30" s="1"/>
      <c r="F30" s="1"/>
      <c r="G30" s="1"/>
      <c r="H30" s="1"/>
      <c r="I30" s="1"/>
      <c r="J30" s="1"/>
    </row>
    <row r="31" spans="1:10">
      <c r="A31" s="1" t="s">
        <v>65</v>
      </c>
      <c r="B31" s="10">
        <v>500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 t="s">
        <v>24</v>
      </c>
      <c r="B32" s="10"/>
      <c r="C32" s="18" t="s">
        <v>79</v>
      </c>
      <c r="D32" s="1"/>
      <c r="E32" s="1"/>
      <c r="F32" s="1"/>
      <c r="G32" s="1"/>
      <c r="H32" s="1"/>
      <c r="I32" s="1"/>
      <c r="J32" s="1"/>
    </row>
    <row r="33" spans="1:10">
      <c r="A33" s="2" t="s">
        <v>14</v>
      </c>
      <c r="B33" s="2">
        <f>SUM(B28:B32)</f>
        <v>7500</v>
      </c>
      <c r="C33" s="18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4AA1-F536-4AEE-8219-9903CC1300DB}">
  <dimension ref="A2:L36"/>
  <sheetViews>
    <sheetView zoomScale="130" zoomScaleNormal="130" workbookViewId="0">
      <selection activeCell="A24" sqref="A24:C30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v>18000</v>
      </c>
      <c r="B6" s="13">
        <f>Tabela11014182226303438424650545862667074788286909498102106[ENTRADA]*3/100</f>
        <v>540</v>
      </c>
      <c r="C6" s="13">
        <f>Tabela11014182226303438424650545862667074788286909498102106[ENTRADA]*10/100</f>
        <v>1800</v>
      </c>
      <c r="D6" s="11">
        <f>Tabela11014182226303438424650545862667074788286909498102106[ENTRADA]-(Tabela11014182226303438424650545862667074788286909498102106[INSS 3%]+Tabela11014182226303438424650545862667074788286909498102106[DIZIMO 10%])</f>
        <v>15660</v>
      </c>
      <c r="E6" s="8">
        <f>Tabela11014182226303438424650545862667074788286909498102106[Renda 87%]-(B12+B22+B30)</f>
        <v>1510</v>
      </c>
      <c r="F6" s="11"/>
      <c r="G6" s="11"/>
      <c r="H6" s="11"/>
      <c r="I6" s="7">
        <f>B12+B22+B30</f>
        <v>14150</v>
      </c>
      <c r="J6" s="9">
        <f>Tabela11014182226303438424650545862667074788286909498102106[Sando Final]+I6</f>
        <v>15660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25" t="s">
        <v>95</v>
      </c>
      <c r="B9" s="25">
        <v>0</v>
      </c>
      <c r="C9" s="24"/>
      <c r="D9" s="1"/>
      <c r="E9" s="1"/>
      <c r="F9" s="1"/>
      <c r="G9" s="1"/>
      <c r="H9" s="1"/>
      <c r="I9" s="1"/>
      <c r="J9" s="1"/>
      <c r="L9" s="19"/>
    </row>
    <row r="10" spans="1:12">
      <c r="A10" s="21" t="s">
        <v>99</v>
      </c>
      <c r="B10" s="21">
        <v>0</v>
      </c>
      <c r="C10" s="22"/>
      <c r="D10" s="1"/>
      <c r="E10" s="1" t="s">
        <v>105</v>
      </c>
      <c r="F10" s="1"/>
      <c r="G10" s="1"/>
      <c r="H10" s="1"/>
      <c r="I10" s="1"/>
      <c r="J10" s="1"/>
      <c r="L10" s="19"/>
    </row>
    <row r="11" spans="1:12">
      <c r="A11" s="15" t="s">
        <v>90</v>
      </c>
      <c r="B11" s="15">
        <v>1000</v>
      </c>
      <c r="C11" s="26"/>
      <c r="D11" s="1"/>
      <c r="E11" s="1"/>
      <c r="F11" s="1"/>
      <c r="G11" s="1"/>
      <c r="H11" s="1"/>
      <c r="I11" s="1"/>
      <c r="J11" s="1"/>
      <c r="L11" s="19"/>
    </row>
    <row r="12" spans="1:12">
      <c r="A12" s="2" t="s">
        <v>14</v>
      </c>
      <c r="B12" s="2">
        <f>SUM(B9:B11)</f>
        <v>1000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1"/>
      <c r="B13" s="20"/>
      <c r="C13" s="1"/>
      <c r="D13" s="1"/>
      <c r="E13" s="1"/>
      <c r="F13" s="1"/>
      <c r="G13" s="1"/>
      <c r="H13" s="1"/>
      <c r="I13" s="1"/>
      <c r="J13" s="1"/>
    </row>
    <row r="14" spans="1:12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2">
      <c r="A15" s="10" t="s">
        <v>16</v>
      </c>
      <c r="B15" s="10">
        <v>5000</v>
      </c>
      <c r="C15" s="1"/>
      <c r="D15" s="1"/>
      <c r="E15" s="1"/>
      <c r="F15" s="1"/>
      <c r="G15" s="1"/>
      <c r="H15" s="1"/>
      <c r="I15" s="1"/>
      <c r="J15" s="1"/>
    </row>
    <row r="16" spans="1:12">
      <c r="A16" s="23" t="s">
        <v>17</v>
      </c>
      <c r="B16" s="23">
        <v>0</v>
      </c>
      <c r="C16" s="1"/>
      <c r="D16" s="1"/>
      <c r="E16" s="1"/>
      <c r="F16" s="1"/>
      <c r="G16" s="1"/>
      <c r="H16" s="1"/>
      <c r="I16" s="1"/>
      <c r="J16" s="1"/>
    </row>
    <row r="17" spans="1:10">
      <c r="A17" s="23" t="s">
        <v>41</v>
      </c>
      <c r="B17" s="23">
        <v>0</v>
      </c>
      <c r="C17" s="1"/>
      <c r="D17" s="1"/>
      <c r="E17" s="1"/>
      <c r="F17" s="1"/>
      <c r="G17" s="1"/>
      <c r="H17" s="1"/>
      <c r="I17" s="1"/>
      <c r="J17" s="1"/>
    </row>
    <row r="18" spans="1:10">
      <c r="A18" s="23" t="s">
        <v>19</v>
      </c>
      <c r="B18" s="23">
        <v>0</v>
      </c>
      <c r="C18" s="1"/>
      <c r="D18" s="1"/>
      <c r="E18" s="1"/>
      <c r="F18" s="1"/>
      <c r="G18" s="1"/>
      <c r="H18" s="1"/>
      <c r="I18" s="1"/>
      <c r="J18" s="1"/>
    </row>
    <row r="19" spans="1:10">
      <c r="A19" s="10" t="s">
        <v>20</v>
      </c>
      <c r="B19" s="10">
        <v>650</v>
      </c>
      <c r="C19" s="1"/>
      <c r="D19" s="1"/>
      <c r="E19" s="1"/>
      <c r="F19" s="1"/>
      <c r="G19" s="1"/>
      <c r="H19" s="1"/>
      <c r="I19" s="1"/>
      <c r="J19" s="1"/>
    </row>
    <row r="20" spans="1:10">
      <c r="A20" s="23" t="s">
        <v>63</v>
      </c>
      <c r="B20" s="23">
        <v>0</v>
      </c>
      <c r="C20" s="1"/>
      <c r="D20" s="1"/>
      <c r="E20" s="1"/>
      <c r="F20" s="1"/>
      <c r="G20" s="1"/>
      <c r="H20" s="1"/>
      <c r="I20" s="1"/>
      <c r="J20" s="1"/>
    </row>
    <row r="21" spans="1:10">
      <c r="A21" s="23" t="s">
        <v>64</v>
      </c>
      <c r="B21" s="23">
        <v>0</v>
      </c>
      <c r="C21" s="1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SUM(B15,B19)</f>
        <v>5650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4" t="s">
        <v>101</v>
      </c>
      <c r="D24" s="1"/>
      <c r="E24" s="1"/>
      <c r="F24" s="1"/>
      <c r="G24" s="1"/>
      <c r="H24" s="1"/>
      <c r="I24" s="1"/>
      <c r="J24" s="1"/>
    </row>
    <row r="25" spans="1:10">
      <c r="A25" s="10" t="s">
        <v>26</v>
      </c>
      <c r="B25" s="10">
        <v>3500</v>
      </c>
      <c r="C25" s="26">
        <v>2500</v>
      </c>
      <c r="D25" s="1"/>
      <c r="E25" s="1"/>
      <c r="F25" s="1"/>
      <c r="G25" s="1"/>
      <c r="H25" s="1"/>
      <c r="I25" s="1"/>
      <c r="J25" s="1"/>
    </row>
    <row r="26" spans="1:10">
      <c r="A26" s="10" t="s">
        <v>23</v>
      </c>
      <c r="B26" s="10">
        <v>2000</v>
      </c>
      <c r="C26" s="26"/>
      <c r="D26" s="1"/>
      <c r="E26" s="1"/>
      <c r="F26" s="1"/>
      <c r="G26" s="1"/>
      <c r="H26" s="1"/>
      <c r="I26" s="1"/>
      <c r="J26" s="1"/>
    </row>
    <row r="27" spans="1:10">
      <c r="A27" s="10" t="s">
        <v>27</v>
      </c>
      <c r="B27" s="10">
        <v>1000</v>
      </c>
      <c r="C27" s="26"/>
      <c r="D27" s="1"/>
      <c r="E27" s="1"/>
      <c r="F27" s="1"/>
      <c r="G27" s="1"/>
      <c r="H27" s="1"/>
      <c r="I27" s="1"/>
      <c r="J27" s="1"/>
    </row>
    <row r="28" spans="1:10">
      <c r="A28" s="10" t="s">
        <v>65</v>
      </c>
      <c r="B28" s="10">
        <v>500</v>
      </c>
      <c r="C28" s="26"/>
      <c r="D28" s="1"/>
      <c r="E28" s="1"/>
      <c r="F28" s="1"/>
      <c r="G28" s="1"/>
      <c r="H28" s="1"/>
      <c r="I28" s="1"/>
      <c r="J28" s="1"/>
    </row>
    <row r="29" spans="1:10">
      <c r="A29" s="10" t="s">
        <v>24</v>
      </c>
      <c r="B29" s="10">
        <v>500</v>
      </c>
      <c r="C29" s="26"/>
      <c r="D29" s="1"/>
      <c r="E29" s="1"/>
      <c r="F29" s="1"/>
      <c r="G29" s="1"/>
      <c r="H29" s="1"/>
      <c r="I29" s="1"/>
      <c r="J29" s="1"/>
    </row>
    <row r="30" spans="1:10">
      <c r="A30" s="2" t="s">
        <v>14</v>
      </c>
      <c r="B30" s="2">
        <f>SUM(B25:B29)</f>
        <v>7500</v>
      </c>
      <c r="C30" s="18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C6CE6-DEAE-4E20-9B0C-AA814C80627D}">
  <dimension ref="A2:L37"/>
  <sheetViews>
    <sheetView zoomScale="130" zoomScaleNormal="130" workbookViewId="0">
      <selection activeCell="C17" sqref="C17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29750+2500</f>
        <v>32250</v>
      </c>
      <c r="B6" s="13">
        <f>Tabela11014182226303438424650545862667074788286909498102106110[ENTRADA]*3/100</f>
        <v>967.5</v>
      </c>
      <c r="C6" s="13">
        <f>Tabela11014182226303438424650545862667074788286909498102106110[ENTRADA]*10/100</f>
        <v>3225</v>
      </c>
      <c r="D6" s="11">
        <f>Tabela11014182226303438424650545862667074788286909498102106110[ENTRADA]-(Tabela11014182226303438424650545862667074788286909498102106110[INSS 3%]+Tabela11014182226303438424650545862667074788286909498102106110[DIZIMO 10%])</f>
        <v>28057.5</v>
      </c>
      <c r="E6" s="8">
        <f>Tabela11014182226303438424650545862667074788286909498102106110[Renda 87%]-(B12+B22+B31)</f>
        <v>3167.5</v>
      </c>
      <c r="F6" s="11"/>
      <c r="G6" s="11"/>
      <c r="H6" s="11"/>
      <c r="I6" s="7">
        <f>B12+B22+B31</f>
        <v>24890</v>
      </c>
      <c r="J6" s="9">
        <f>Tabela11014182226303438424650545862667074788286909498102106110[Sando Final]+I6</f>
        <v>28057.5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25" t="s">
        <v>95</v>
      </c>
      <c r="B9" s="25">
        <v>4000</v>
      </c>
      <c r="C9" s="24"/>
      <c r="D9" s="1"/>
      <c r="E9" s="1"/>
      <c r="F9" s="1"/>
      <c r="G9" s="1"/>
      <c r="H9" s="1"/>
      <c r="I9" s="1"/>
      <c r="J9" s="1"/>
      <c r="L9" s="19"/>
    </row>
    <row r="10" spans="1:12">
      <c r="A10" s="21" t="s">
        <v>99</v>
      </c>
      <c r="B10" s="21"/>
      <c r="C10" s="22"/>
      <c r="D10" s="1"/>
      <c r="E10" s="1"/>
      <c r="F10" s="1"/>
      <c r="G10" s="1"/>
      <c r="H10" s="1"/>
      <c r="I10" s="1"/>
      <c r="J10" s="1"/>
      <c r="L10" s="19"/>
    </row>
    <row r="11" spans="1:12">
      <c r="A11" s="21"/>
      <c r="B11" s="21">
        <v>1040</v>
      </c>
      <c r="C11" s="22"/>
      <c r="D11" s="1"/>
      <c r="E11" s="1"/>
      <c r="F11" s="1"/>
      <c r="G11" s="1"/>
      <c r="H11" s="1"/>
      <c r="I11" s="1"/>
      <c r="J11" s="1"/>
      <c r="L11" s="19"/>
    </row>
    <row r="12" spans="1:12">
      <c r="A12" s="2" t="s">
        <v>14</v>
      </c>
      <c r="B12" s="2">
        <f>SUM(B9:B11)</f>
        <v>5040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1"/>
      <c r="B13" s="20"/>
      <c r="C13" s="1"/>
      <c r="D13" s="1"/>
      <c r="E13" s="1"/>
      <c r="F13" s="1"/>
      <c r="G13" s="1"/>
      <c r="H13" s="1"/>
      <c r="I13" s="1"/>
      <c r="J13" s="1"/>
    </row>
    <row r="14" spans="1:12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2">
      <c r="A15" s="10" t="s">
        <v>16</v>
      </c>
      <c r="B15" s="10">
        <v>0</v>
      </c>
      <c r="C15" s="1"/>
      <c r="D15" s="1"/>
      <c r="E15" s="1"/>
      <c r="F15" s="1"/>
      <c r="G15" s="1"/>
      <c r="H15" s="1"/>
      <c r="I15" s="1"/>
      <c r="J15" s="1"/>
    </row>
    <row r="16" spans="1:12">
      <c r="A16" s="23" t="s">
        <v>17</v>
      </c>
      <c r="B16" s="23">
        <v>1500</v>
      </c>
      <c r="C16" s="1"/>
      <c r="D16" s="1"/>
      <c r="E16" s="1"/>
      <c r="F16" s="1"/>
      <c r="G16" s="1"/>
      <c r="H16" s="1"/>
      <c r="I16" s="1"/>
      <c r="J16" s="1"/>
    </row>
    <row r="17" spans="1:10">
      <c r="A17" s="23" t="s">
        <v>41</v>
      </c>
      <c r="B17" s="23">
        <v>600</v>
      </c>
      <c r="C17" s="1"/>
      <c r="D17" s="1"/>
      <c r="E17" s="1"/>
      <c r="F17" s="1"/>
      <c r="G17" s="1"/>
      <c r="H17" s="1"/>
      <c r="I17" s="1"/>
      <c r="J17" s="1"/>
    </row>
    <row r="18" spans="1:10">
      <c r="A18" s="23" t="s">
        <v>19</v>
      </c>
      <c r="B18" s="23">
        <v>500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0" t="s">
        <v>20</v>
      </c>
      <c r="B19" s="10">
        <v>0</v>
      </c>
      <c r="C19" s="1"/>
      <c r="D19" s="1"/>
      <c r="E19" s="1"/>
      <c r="F19" s="1"/>
      <c r="G19" s="1"/>
      <c r="H19" s="1"/>
      <c r="I19" s="1"/>
      <c r="J19" s="1"/>
    </row>
    <row r="20" spans="1:10">
      <c r="A20" s="23" t="s">
        <v>63</v>
      </c>
      <c r="B20" s="23">
        <v>1500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23" t="s">
        <v>64</v>
      </c>
      <c r="B21" s="23">
        <v>3250</v>
      </c>
      <c r="C21" s="1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SUM(B15:B21)</f>
        <v>7350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4" t="s">
        <v>101</v>
      </c>
      <c r="D24" s="1"/>
      <c r="E24" s="1"/>
      <c r="F24" s="1"/>
      <c r="G24" s="1"/>
      <c r="H24" s="1"/>
      <c r="I24" s="1"/>
      <c r="J24" s="1"/>
    </row>
    <row r="25" spans="1:10">
      <c r="A25" s="10" t="s">
        <v>26</v>
      </c>
      <c r="B25" s="10">
        <v>2500</v>
      </c>
      <c r="C25" s="26">
        <v>2500</v>
      </c>
      <c r="D25" s="1"/>
      <c r="E25" s="1"/>
      <c r="F25" s="1"/>
      <c r="G25" s="1"/>
      <c r="H25" s="1"/>
      <c r="I25" s="1"/>
      <c r="J25" s="1"/>
    </row>
    <row r="26" spans="1:10">
      <c r="A26" s="10" t="s">
        <v>23</v>
      </c>
      <c r="B26" s="10">
        <v>0</v>
      </c>
      <c r="C26" s="26"/>
      <c r="D26" s="1"/>
      <c r="E26" s="1"/>
      <c r="F26" s="1"/>
      <c r="G26" s="1"/>
      <c r="H26" s="1"/>
      <c r="I26" s="1"/>
      <c r="J26" s="1"/>
    </row>
    <row r="27" spans="1:10">
      <c r="A27" s="10" t="s">
        <v>27</v>
      </c>
      <c r="B27" s="10">
        <v>0</v>
      </c>
      <c r="C27" s="26"/>
      <c r="D27" s="1"/>
      <c r="E27" s="1"/>
      <c r="F27" s="1"/>
      <c r="G27" s="1"/>
      <c r="H27" s="1"/>
      <c r="I27" s="1"/>
      <c r="J27" s="1"/>
    </row>
    <row r="28" spans="1:10">
      <c r="A28" s="10" t="s">
        <v>65</v>
      </c>
      <c r="B28" s="10">
        <v>0</v>
      </c>
      <c r="C28" s="26"/>
      <c r="D28" s="1"/>
      <c r="E28" s="1"/>
      <c r="F28" s="1"/>
      <c r="G28" s="1"/>
      <c r="H28" s="1"/>
      <c r="I28" s="1"/>
      <c r="J28" s="1"/>
    </row>
    <row r="29" spans="1:10">
      <c r="A29" s="1" t="s">
        <v>106</v>
      </c>
      <c r="B29" s="1">
        <v>10000</v>
      </c>
      <c r="C29" s="18"/>
      <c r="D29" s="1"/>
      <c r="E29" s="1"/>
      <c r="F29" s="1"/>
      <c r="G29" s="1"/>
      <c r="H29" s="1"/>
      <c r="I29" s="1"/>
      <c r="J29" s="1"/>
    </row>
    <row r="30" spans="1:10">
      <c r="A30" s="10" t="s">
        <v>24</v>
      </c>
      <c r="B30" s="10">
        <v>0</v>
      </c>
      <c r="C30" s="26"/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SUM(B25:B30)</f>
        <v>12500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8FB2-B96F-3041-B93A-7442444BC629}">
  <dimension ref="A2:L37"/>
  <sheetViews>
    <sheetView zoomScale="130" zoomScaleNormal="130" workbookViewId="0">
      <selection activeCell="B13" sqref="B13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46200+2000+2975</f>
        <v>51175</v>
      </c>
      <c r="B6" s="13">
        <f>Tabela11014182226303438424650545862667074788286909498102106110114[ENTRADA]*3/100</f>
        <v>1535.25</v>
      </c>
      <c r="C6" s="13">
        <f>Tabela11014182226303438424650545862667074788286909498102106110114[ENTRADA]*10/100</f>
        <v>5117.5</v>
      </c>
      <c r="D6" s="11">
        <f>Tabela11014182226303438424650545862667074788286909498102106110114[ENTRADA]-(Tabela11014182226303438424650545862667074788286909498102106110114[INSS 3%]+Tabela11014182226303438424650545862667074788286909498102106110114[DIZIMO 10%])</f>
        <v>44522.25</v>
      </c>
      <c r="E6" s="8">
        <f>Tabela11014182226303438424650545862667074788286909498102106110114[Renda 87%]-(B12+B22+B31)</f>
        <v>14302.25</v>
      </c>
      <c r="F6" s="11"/>
      <c r="G6" s="11"/>
      <c r="H6" s="11"/>
      <c r="I6" s="7">
        <f>B12+B22+B31</f>
        <v>30220</v>
      </c>
      <c r="J6" s="9">
        <f>Tabela11014182226303438424650545862667074788286909498102106110114[Sando Final]+I6</f>
        <v>44522.25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25" t="s">
        <v>95</v>
      </c>
      <c r="B9" s="25">
        <v>4000</v>
      </c>
      <c r="C9" s="24"/>
      <c r="D9" s="1"/>
      <c r="E9" s="1"/>
      <c r="F9" s="1"/>
      <c r="G9" s="1"/>
      <c r="H9" s="1"/>
      <c r="I9" s="1"/>
      <c r="J9" s="1"/>
      <c r="L9" s="19"/>
    </row>
    <row r="10" spans="1:12">
      <c r="A10" s="21"/>
      <c r="B10" s="21"/>
      <c r="C10" s="22"/>
      <c r="D10" s="1"/>
      <c r="E10" s="1"/>
      <c r="F10" s="1"/>
      <c r="G10" s="1"/>
      <c r="H10" s="1"/>
      <c r="I10" s="1"/>
      <c r="J10" s="1"/>
      <c r="L10" s="19"/>
    </row>
    <row r="11" spans="1:12">
      <c r="A11" s="21"/>
      <c r="B11" s="21"/>
      <c r="C11" s="22"/>
      <c r="D11" s="1"/>
      <c r="E11" s="1"/>
      <c r="F11" s="1"/>
      <c r="G11" s="1"/>
      <c r="H11" s="1"/>
      <c r="I11" s="1"/>
      <c r="J11" s="1"/>
      <c r="L11" s="19"/>
    </row>
    <row r="12" spans="1:12">
      <c r="A12" s="2" t="s">
        <v>14</v>
      </c>
      <c r="B12" s="2">
        <f>SUM(B9:B11)</f>
        <v>4000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1"/>
      <c r="B13" s="20"/>
      <c r="C13" s="1"/>
      <c r="D13" s="1"/>
      <c r="E13" s="1"/>
      <c r="F13" s="1"/>
      <c r="G13" s="1"/>
      <c r="H13" s="1"/>
      <c r="I13" s="1"/>
      <c r="J13" s="1"/>
    </row>
    <row r="14" spans="1:12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2">
      <c r="A15" s="10" t="s">
        <v>16</v>
      </c>
      <c r="B15" s="10">
        <v>5000</v>
      </c>
      <c r="C15" s="1"/>
      <c r="D15" s="1"/>
      <c r="E15" s="1"/>
      <c r="F15" s="1"/>
      <c r="G15" s="1"/>
      <c r="H15" s="1"/>
      <c r="I15" s="1"/>
      <c r="J15" s="1"/>
    </row>
    <row r="16" spans="1:12">
      <c r="A16" s="23" t="s">
        <v>17</v>
      </c>
      <c r="B16" s="23">
        <v>500</v>
      </c>
      <c r="C16" s="1"/>
      <c r="D16" s="1"/>
      <c r="E16" s="1"/>
      <c r="F16" s="1"/>
      <c r="G16" s="1"/>
      <c r="H16" s="1"/>
      <c r="I16" s="1"/>
      <c r="J16" s="1"/>
    </row>
    <row r="17" spans="1:10">
      <c r="A17" s="23" t="s">
        <v>41</v>
      </c>
      <c r="B17" s="23">
        <v>1020</v>
      </c>
      <c r="C17" s="1"/>
      <c r="D17" s="1"/>
      <c r="E17" s="1"/>
      <c r="F17" s="1"/>
      <c r="G17" s="1"/>
      <c r="H17" s="1"/>
      <c r="I17" s="1"/>
      <c r="J17" s="1"/>
    </row>
    <row r="18" spans="1:10">
      <c r="A18" s="23" t="s">
        <v>19</v>
      </c>
      <c r="B18" s="23">
        <v>500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0" t="s">
        <v>20</v>
      </c>
      <c r="B19" s="10">
        <v>200</v>
      </c>
      <c r="C19" s="1"/>
      <c r="D19" s="1"/>
      <c r="E19" s="1"/>
      <c r="F19" s="1"/>
      <c r="G19" s="1"/>
      <c r="H19" s="1"/>
      <c r="I19" s="1"/>
      <c r="J19" s="1"/>
    </row>
    <row r="20" spans="1:10">
      <c r="A20" s="23" t="s">
        <v>63</v>
      </c>
      <c r="B20" s="23">
        <v>1500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23" t="s">
        <v>64</v>
      </c>
      <c r="B21" s="23">
        <v>6000</v>
      </c>
      <c r="C21" s="1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SUM(B15:B21)</f>
        <v>14720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4" t="s">
        <v>101</v>
      </c>
      <c r="D24" s="1"/>
      <c r="E24" s="1"/>
      <c r="F24" s="1"/>
      <c r="G24" s="1"/>
      <c r="H24" s="1"/>
      <c r="I24" s="1"/>
      <c r="J24" s="1"/>
    </row>
    <row r="25" spans="1:10">
      <c r="A25" s="10" t="s">
        <v>26</v>
      </c>
      <c r="B25" s="10">
        <v>8000</v>
      </c>
      <c r="C25" s="26"/>
      <c r="D25" s="1"/>
      <c r="E25" s="1"/>
      <c r="F25" s="1"/>
      <c r="G25" s="1"/>
      <c r="H25" s="1"/>
      <c r="I25" s="1"/>
      <c r="J25" s="1"/>
    </row>
    <row r="26" spans="1:10">
      <c r="A26" s="10" t="s">
        <v>23</v>
      </c>
      <c r="B26" s="10">
        <v>1000</v>
      </c>
      <c r="C26" s="26"/>
      <c r="D26" s="1"/>
      <c r="E26" s="1"/>
      <c r="F26" s="1"/>
      <c r="G26" s="1"/>
      <c r="H26" s="1"/>
      <c r="I26" s="1"/>
      <c r="J26" s="1"/>
    </row>
    <row r="27" spans="1:10">
      <c r="A27" s="10" t="s">
        <v>27</v>
      </c>
      <c r="B27" s="10">
        <v>1000</v>
      </c>
      <c r="C27" s="26"/>
      <c r="D27" s="1"/>
      <c r="E27" s="1"/>
      <c r="F27" s="1"/>
      <c r="G27" s="1"/>
      <c r="H27" s="1"/>
      <c r="I27" s="1"/>
      <c r="J27" s="1"/>
    </row>
    <row r="28" spans="1:10">
      <c r="A28" s="10" t="s">
        <v>65</v>
      </c>
      <c r="B28" s="10">
        <v>500</v>
      </c>
      <c r="C28" s="26"/>
      <c r="D28" s="1"/>
      <c r="E28" s="1"/>
      <c r="F28" s="1"/>
      <c r="G28" s="1"/>
      <c r="H28" s="1"/>
      <c r="I28" s="1"/>
      <c r="J28" s="1"/>
    </row>
    <row r="29" spans="1:10">
      <c r="A29" s="1" t="s">
        <v>69</v>
      </c>
      <c r="B29" s="1">
        <v>500</v>
      </c>
      <c r="C29" s="18"/>
      <c r="D29" s="1"/>
      <c r="E29" s="1"/>
      <c r="F29" s="1"/>
      <c r="G29" s="1"/>
      <c r="H29" s="1"/>
      <c r="I29" s="1"/>
      <c r="J29" s="1"/>
    </row>
    <row r="30" spans="1:10">
      <c r="A30" s="10" t="s">
        <v>24</v>
      </c>
      <c r="B30" s="10">
        <v>500</v>
      </c>
      <c r="C30" s="26"/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SUM(B25:B30)</f>
        <v>11500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 r:id="rId1"/>
  <tableParts count="4">
    <tablePart r:id="rId2"/>
    <tablePart r:id="rId3"/>
    <tablePart r:id="rId4"/>
    <tablePart r:id="rId5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06817-5C68-4189-9183-DB010A6F7541}">
  <dimension ref="A2:L38"/>
  <sheetViews>
    <sheetView zoomScale="130" zoomScaleNormal="130" workbookViewId="0">
      <selection activeCell="M6" sqref="M6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46200+2000+2975</f>
        <v>51175</v>
      </c>
      <c r="B6" s="13">
        <f>Tabela11014182226303438424650545862667074788286909498102106110114118[ENTRADA]*3/100</f>
        <v>1535.25</v>
      </c>
      <c r="C6" s="13">
        <f>Tabela11014182226303438424650545862667074788286909498102106110114118[ENTRADA]*10/100</f>
        <v>5117.5</v>
      </c>
      <c r="D6" s="11">
        <f>Tabela11014182226303438424650545862667074788286909498102106110114118[ENTRADA]-(Tabela11014182226303438424650545862667074788286909498102106110114118[INSS 3%]+Tabela11014182226303438424650545862667074788286909498102106110114118[DIZIMO 10%])</f>
        <v>44522.25</v>
      </c>
      <c r="E6" s="8">
        <f>Tabela11014182226303438424650545862667074788286909498102106110114118[Renda 87%]-(B12+B23+B32)</f>
        <v>5302.25</v>
      </c>
      <c r="F6" s="11"/>
      <c r="G6" s="11"/>
      <c r="H6" s="11"/>
      <c r="I6" s="7">
        <f>B12+B23+B32</f>
        <v>39220</v>
      </c>
      <c r="J6" s="9">
        <f>Tabela11014182226303438424650545862667074788286909498102106110114118[Sando Final]+I6</f>
        <v>44522.25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25" t="s">
        <v>107</v>
      </c>
      <c r="B9" s="25">
        <v>4000</v>
      </c>
      <c r="C9" s="24"/>
      <c r="D9" s="1"/>
      <c r="E9" s="1"/>
      <c r="F9" s="1"/>
      <c r="G9" s="1"/>
      <c r="H9" s="1"/>
      <c r="I9" s="1"/>
      <c r="J9" s="1"/>
      <c r="L9" s="19"/>
    </row>
    <row r="10" spans="1:12">
      <c r="A10" s="21" t="s">
        <v>99</v>
      </c>
      <c r="B10" s="21">
        <v>1800</v>
      </c>
      <c r="C10" s="22"/>
      <c r="D10" s="1"/>
      <c r="E10" s="1"/>
      <c r="F10" s="1"/>
      <c r="G10" s="1"/>
      <c r="H10" s="1"/>
      <c r="I10" s="1"/>
      <c r="J10" s="1"/>
      <c r="L10" s="19"/>
    </row>
    <row r="11" spans="1:12">
      <c r="A11" s="21"/>
      <c r="B11" s="21"/>
      <c r="C11" s="22"/>
      <c r="D11" s="1"/>
      <c r="E11" s="1"/>
      <c r="F11" s="1"/>
      <c r="G11" s="1"/>
      <c r="H11" s="1"/>
      <c r="I11" s="1"/>
      <c r="J11" s="1"/>
      <c r="L11" s="19"/>
    </row>
    <row r="12" spans="1:12">
      <c r="A12" s="2" t="s">
        <v>14</v>
      </c>
      <c r="B12" s="2">
        <f>SUM(B9:B11)</f>
        <v>5800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1"/>
      <c r="B13" s="20"/>
      <c r="C13" s="1"/>
      <c r="D13" s="1"/>
      <c r="E13" s="1"/>
      <c r="F13" s="1"/>
      <c r="G13" s="1"/>
      <c r="H13" s="1"/>
      <c r="I13" s="1"/>
      <c r="J13" s="1"/>
    </row>
    <row r="14" spans="1:12">
      <c r="A14" s="4" t="s">
        <v>15</v>
      </c>
      <c r="B14" s="4" t="s">
        <v>10</v>
      </c>
      <c r="C14" s="1"/>
      <c r="D14" s="1"/>
      <c r="E14" s="1"/>
      <c r="F14" s="1"/>
      <c r="G14" s="1"/>
      <c r="H14" s="1"/>
      <c r="I14" s="1"/>
      <c r="J14" s="1"/>
    </row>
    <row r="15" spans="1:12">
      <c r="A15" s="10" t="s">
        <v>16</v>
      </c>
      <c r="B15" s="10">
        <v>5000</v>
      </c>
      <c r="C15" s="1"/>
      <c r="D15" s="1"/>
      <c r="E15" s="1"/>
      <c r="F15" s="1"/>
      <c r="G15" s="1"/>
      <c r="H15" s="1"/>
      <c r="I15" s="1"/>
      <c r="J15" s="1"/>
    </row>
    <row r="16" spans="1:12">
      <c r="A16" s="23" t="s">
        <v>17</v>
      </c>
      <c r="B16" s="23">
        <v>500</v>
      </c>
      <c r="C16" s="1"/>
      <c r="D16" s="1"/>
      <c r="E16" s="1"/>
      <c r="F16" s="1"/>
      <c r="G16" s="1"/>
      <c r="H16" s="1"/>
      <c r="I16" s="1"/>
      <c r="J16" s="1"/>
    </row>
    <row r="17" spans="1:10">
      <c r="A17" s="23" t="s">
        <v>41</v>
      </c>
      <c r="B17" s="23">
        <v>1020</v>
      </c>
      <c r="C17" s="1"/>
      <c r="D17" s="1"/>
      <c r="E17" s="1"/>
      <c r="F17" s="1"/>
      <c r="G17" s="1"/>
      <c r="H17" s="1"/>
      <c r="I17" s="1"/>
      <c r="J17" s="1"/>
    </row>
    <row r="18" spans="1:10">
      <c r="A18" s="23" t="s">
        <v>19</v>
      </c>
      <c r="B18" s="23">
        <v>500</v>
      </c>
      <c r="C18" s="1"/>
      <c r="D18" s="1"/>
      <c r="E18" s="1"/>
      <c r="F18" s="1"/>
      <c r="G18" s="1"/>
      <c r="H18" s="1"/>
      <c r="I18" s="1"/>
      <c r="J18" s="1"/>
    </row>
    <row r="19" spans="1:10">
      <c r="A19" s="10" t="s">
        <v>20</v>
      </c>
      <c r="B19" s="10">
        <v>200</v>
      </c>
      <c r="C19" s="1"/>
      <c r="D19" s="1"/>
      <c r="E19" s="1"/>
      <c r="F19" s="1"/>
      <c r="G19" s="1"/>
      <c r="H19" s="1"/>
      <c r="I19" s="1"/>
      <c r="J19" s="1"/>
    </row>
    <row r="20" spans="1:10">
      <c r="A20" s="23" t="s">
        <v>63</v>
      </c>
      <c r="B20" s="23">
        <v>1500</v>
      </c>
      <c r="C20" s="1"/>
      <c r="D20" s="1"/>
      <c r="E20" s="1"/>
      <c r="F20" s="1"/>
      <c r="G20" s="1"/>
      <c r="H20" s="1"/>
      <c r="I20" s="1"/>
      <c r="J20" s="1"/>
    </row>
    <row r="21" spans="1:10">
      <c r="A21" s="1" t="s">
        <v>108</v>
      </c>
      <c r="B21" s="1">
        <v>11500</v>
      </c>
      <c r="C21" s="1"/>
      <c r="D21" s="1"/>
      <c r="E21" s="1"/>
      <c r="F21" s="1"/>
      <c r="G21" s="1"/>
      <c r="H21" s="1"/>
      <c r="I21" s="1"/>
      <c r="J21" s="1"/>
    </row>
    <row r="22" spans="1:10">
      <c r="A22" s="23" t="s">
        <v>64</v>
      </c>
      <c r="B22" s="23">
        <f>1500+2200</f>
        <v>3700</v>
      </c>
      <c r="C22" s="1"/>
      <c r="D22" s="1"/>
      <c r="E22" s="1"/>
      <c r="F22" s="1"/>
      <c r="G22" s="1"/>
      <c r="H22" s="1"/>
      <c r="I22" s="1"/>
      <c r="J22" s="1"/>
    </row>
    <row r="23" spans="1:10">
      <c r="A23" s="2" t="s">
        <v>14</v>
      </c>
      <c r="B23" s="2">
        <f>SUM(B15:B22)</f>
        <v>23920</v>
      </c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5" t="s">
        <v>22</v>
      </c>
      <c r="B25" s="6" t="s">
        <v>10</v>
      </c>
      <c r="C25" s="4" t="s">
        <v>101</v>
      </c>
      <c r="D25" s="1"/>
      <c r="E25" s="1"/>
      <c r="F25" s="1"/>
      <c r="G25" s="1"/>
      <c r="H25" s="1"/>
      <c r="I25" s="1"/>
      <c r="J25" s="1"/>
    </row>
    <row r="26" spans="1:10">
      <c r="A26" s="10" t="s">
        <v>26</v>
      </c>
      <c r="B26" s="10">
        <v>6000</v>
      </c>
      <c r="C26" s="26"/>
      <c r="D26" s="1"/>
      <c r="E26" s="1"/>
      <c r="F26" s="1"/>
      <c r="G26" s="1"/>
      <c r="H26" s="1"/>
      <c r="I26" s="1"/>
      <c r="J26" s="1"/>
    </row>
    <row r="27" spans="1:10">
      <c r="A27" s="10" t="s">
        <v>23</v>
      </c>
      <c r="B27" s="10">
        <v>1000</v>
      </c>
      <c r="C27" s="26"/>
      <c r="D27" s="1"/>
      <c r="E27" s="1"/>
      <c r="F27" s="1"/>
      <c r="G27" s="1"/>
      <c r="H27" s="1"/>
      <c r="I27" s="1"/>
      <c r="J27" s="1"/>
    </row>
    <row r="28" spans="1:10">
      <c r="A28" s="10" t="s">
        <v>27</v>
      </c>
      <c r="B28" s="10">
        <v>1000</v>
      </c>
      <c r="C28" s="26"/>
      <c r="D28" s="1"/>
      <c r="E28" s="1"/>
      <c r="F28" s="1"/>
      <c r="G28" s="1"/>
      <c r="H28" s="1"/>
      <c r="I28" s="1"/>
      <c r="J28" s="1"/>
    </row>
    <row r="29" spans="1:10">
      <c r="A29" s="10" t="s">
        <v>65</v>
      </c>
      <c r="B29" s="10">
        <v>500</v>
      </c>
      <c r="C29" s="26"/>
      <c r="D29" s="1"/>
      <c r="E29" s="1"/>
      <c r="F29" s="1"/>
      <c r="G29" s="1"/>
      <c r="H29" s="1"/>
      <c r="I29" s="1"/>
      <c r="J29" s="1"/>
    </row>
    <row r="30" spans="1:10">
      <c r="A30" s="1" t="s">
        <v>69</v>
      </c>
      <c r="B30" s="1">
        <v>500</v>
      </c>
      <c r="C30" s="18"/>
      <c r="D30" s="1"/>
      <c r="E30" s="1"/>
      <c r="F30" s="1"/>
      <c r="G30" s="1"/>
      <c r="H30" s="1"/>
      <c r="I30" s="1"/>
      <c r="J30" s="1"/>
    </row>
    <row r="31" spans="1:10">
      <c r="A31" s="10" t="s">
        <v>24</v>
      </c>
      <c r="B31" s="10">
        <v>500</v>
      </c>
      <c r="C31" s="26"/>
      <c r="D31" s="1"/>
      <c r="E31" s="1"/>
      <c r="F31" s="1"/>
      <c r="G31" s="1"/>
      <c r="H31" s="1"/>
      <c r="I31" s="1"/>
      <c r="J31" s="1"/>
    </row>
    <row r="32" spans="1:10">
      <c r="A32" s="2" t="s">
        <v>14</v>
      </c>
      <c r="B32" s="2">
        <f>SUM(B26:B31)</f>
        <v>9500</v>
      </c>
      <c r="C32" s="18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2D62-4C46-294F-9B9B-AB89B3D56BFC}">
  <dimension ref="A2:L40"/>
  <sheetViews>
    <sheetView topLeftCell="C4" zoomScale="130" zoomScaleNormal="130" workbookViewId="0">
      <selection activeCell="D17" sqref="D17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46200+2000+2975</f>
        <v>51175</v>
      </c>
      <c r="B6" s="13">
        <f>Tabela11014182226303438424650545862667074788286909498102106110114118122[ENTRADA]*3/100</f>
        <v>1535.25</v>
      </c>
      <c r="C6" s="13">
        <f>Tabela11014182226303438424650545862667074788286909498102106110114118122[ENTRADA]*10/100</f>
        <v>5117.5</v>
      </c>
      <c r="D6" s="11">
        <f>Tabela11014182226303438424650545862667074788286909498102106110114118122[ENTRADA]-(Tabela11014182226303438424650545862667074788286909498102106110114118122[INSS 3%]+Tabela11014182226303438424650545862667074788286909498102106110114118122[DIZIMO 10%])</f>
        <v>44522.25</v>
      </c>
      <c r="E6" s="8">
        <f>Tabela11014182226303438424650545862667074788286909498102106110114118122[Renda 87%]-(B13+B25+B34)</f>
        <v>5932.25</v>
      </c>
      <c r="F6" s="11"/>
      <c r="G6" s="11"/>
      <c r="H6" s="11"/>
      <c r="I6" s="7">
        <f>B13+B25+B34</f>
        <v>38590</v>
      </c>
      <c r="J6" s="9">
        <f>Tabela11014182226303438424650545862667074788286909498102106110114118122[Sando Final]+I6</f>
        <v>44522.25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25" t="s">
        <v>107</v>
      </c>
      <c r="B9" s="25">
        <v>4000</v>
      </c>
      <c r="C9" s="24"/>
      <c r="D9" s="1"/>
      <c r="E9" s="1"/>
      <c r="F9" s="1"/>
      <c r="G9" s="1"/>
      <c r="H9" s="1"/>
      <c r="I9" s="1"/>
      <c r="J9" s="1"/>
      <c r="L9" s="19"/>
    </row>
    <row r="10" spans="1:12">
      <c r="A10" s="21" t="s">
        <v>99</v>
      </c>
      <c r="B10" s="21">
        <v>1200</v>
      </c>
      <c r="C10" s="22"/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109</v>
      </c>
      <c r="B11" s="4">
        <v>200</v>
      </c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21" t="s">
        <v>110</v>
      </c>
      <c r="B12" s="21">
        <v>900</v>
      </c>
      <c r="C12" s="22"/>
      <c r="D12" s="1"/>
      <c r="E12" s="1"/>
      <c r="F12" s="1"/>
      <c r="G12" s="1"/>
      <c r="H12" s="1"/>
      <c r="I12" s="1"/>
      <c r="J12" s="1"/>
      <c r="L12" s="19"/>
    </row>
    <row r="13" spans="1:12">
      <c r="A13" s="2" t="s">
        <v>14</v>
      </c>
      <c r="B13" s="2">
        <f>SUM(B9:B12)</f>
        <v>6300</v>
      </c>
      <c r="C13" s="18"/>
      <c r="D13" s="1"/>
      <c r="E13" s="1"/>
      <c r="F13" s="1"/>
      <c r="G13" s="1"/>
      <c r="H13" s="1"/>
      <c r="I13" s="1"/>
      <c r="J13" s="1"/>
      <c r="L13" s="19"/>
    </row>
    <row r="14" spans="1:12">
      <c r="A14" s="1"/>
      <c r="B14" s="20"/>
      <c r="C14" s="1"/>
      <c r="D14" s="1"/>
      <c r="E14" s="1"/>
      <c r="F14" s="1"/>
      <c r="G14" s="1"/>
      <c r="H14" s="1"/>
      <c r="I14" s="1"/>
      <c r="J14" s="1"/>
    </row>
    <row r="15" spans="1:12">
      <c r="A15" s="4" t="s">
        <v>15</v>
      </c>
      <c r="B15" s="4" t="s">
        <v>10</v>
      </c>
      <c r="C15" s="1"/>
      <c r="D15" s="1"/>
      <c r="E15" s="1"/>
      <c r="F15" s="1"/>
      <c r="G15" s="1"/>
      <c r="H15" s="1"/>
      <c r="I15" s="1"/>
      <c r="J15" s="1"/>
    </row>
    <row r="16" spans="1:12">
      <c r="A16" s="10" t="s">
        <v>16</v>
      </c>
      <c r="B16" s="10">
        <v>10000</v>
      </c>
      <c r="C16" s="1"/>
      <c r="D16" s="1"/>
      <c r="E16" s="1"/>
      <c r="F16" s="1"/>
      <c r="G16" s="1"/>
      <c r="H16" s="1"/>
      <c r="I16" s="1"/>
      <c r="J16" s="1"/>
    </row>
    <row r="17" spans="1:10">
      <c r="A17" s="23" t="s">
        <v>17</v>
      </c>
      <c r="B17" s="23">
        <v>500</v>
      </c>
      <c r="C17" s="1"/>
      <c r="D17" s="1"/>
      <c r="E17" s="1"/>
      <c r="F17" s="1"/>
      <c r="G17" s="1"/>
      <c r="H17" s="1"/>
      <c r="I17" s="1"/>
      <c r="J17" s="1"/>
    </row>
    <row r="18" spans="1:10">
      <c r="A18" s="23" t="s">
        <v>41</v>
      </c>
      <c r="B18" s="23">
        <v>1390</v>
      </c>
      <c r="C18" s="1"/>
      <c r="D18" s="1"/>
      <c r="E18" s="1"/>
      <c r="F18" s="1"/>
      <c r="G18" s="1"/>
      <c r="H18" s="1"/>
      <c r="I18" s="1"/>
      <c r="J18" s="1"/>
    </row>
    <row r="19" spans="1:10">
      <c r="A19" s="23" t="s">
        <v>19</v>
      </c>
      <c r="B19" s="23">
        <v>500</v>
      </c>
      <c r="C19" s="1"/>
      <c r="D19" s="1"/>
      <c r="E19" s="1"/>
      <c r="F19" s="1"/>
      <c r="G19" s="1"/>
      <c r="H19" s="1"/>
      <c r="I19" s="1"/>
      <c r="J19" s="1"/>
    </row>
    <row r="20" spans="1:10">
      <c r="A20" s="10" t="s">
        <v>20</v>
      </c>
      <c r="B20" s="10">
        <v>200</v>
      </c>
      <c r="C20" s="1"/>
      <c r="D20" s="1"/>
      <c r="E20" s="1"/>
      <c r="F20" s="1"/>
      <c r="G20" s="1"/>
      <c r="H20" s="1"/>
      <c r="I20" s="1"/>
      <c r="J20" s="1"/>
    </row>
    <row r="21" spans="1:10">
      <c r="A21" s="23" t="s">
        <v>63</v>
      </c>
      <c r="B21" s="23">
        <v>1500</v>
      </c>
      <c r="C21" s="1"/>
      <c r="D21" s="1"/>
      <c r="E21" s="1"/>
      <c r="F21" s="1"/>
      <c r="G21" s="1"/>
      <c r="H21" s="1"/>
      <c r="I21" s="1"/>
      <c r="J21" s="1"/>
    </row>
    <row r="22" spans="1:10">
      <c r="A22" s="1" t="s">
        <v>111</v>
      </c>
      <c r="B22" s="1">
        <v>2000</v>
      </c>
      <c r="C22" s="1"/>
      <c r="D22" s="1"/>
      <c r="E22" s="1"/>
      <c r="F22" s="1"/>
      <c r="G22" s="1"/>
      <c r="H22" s="1"/>
      <c r="I22" s="1"/>
      <c r="J22" s="1"/>
    </row>
    <row r="23" spans="1:10">
      <c r="A23" s="1" t="s">
        <v>112</v>
      </c>
      <c r="B23" s="1">
        <v>3000</v>
      </c>
      <c r="C23" s="1"/>
      <c r="D23" s="1"/>
      <c r="E23" s="1"/>
      <c r="F23" s="1"/>
      <c r="G23" s="1"/>
      <c r="H23" s="1"/>
      <c r="I23" s="1"/>
      <c r="J23" s="1"/>
    </row>
    <row r="24" spans="1:10">
      <c r="A24" s="23" t="s">
        <v>64</v>
      </c>
      <c r="B24" s="23">
        <f>1500+2200</f>
        <v>3700</v>
      </c>
      <c r="C24" s="1"/>
      <c r="D24" s="1"/>
      <c r="E24" s="1"/>
      <c r="F24" s="1"/>
      <c r="G24" s="1"/>
      <c r="H24" s="1"/>
      <c r="I24" s="1"/>
      <c r="J24" s="1"/>
    </row>
    <row r="25" spans="1:10">
      <c r="A25" s="2" t="s">
        <v>14</v>
      </c>
      <c r="B25" s="2">
        <f>SUM(B16:B24)</f>
        <v>22790</v>
      </c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5" t="s">
        <v>22</v>
      </c>
      <c r="B27" s="6" t="s">
        <v>10</v>
      </c>
      <c r="C27" s="4" t="s">
        <v>101</v>
      </c>
      <c r="D27" s="1"/>
      <c r="E27" s="1"/>
      <c r="F27" s="1"/>
      <c r="G27" s="1"/>
      <c r="H27" s="1"/>
      <c r="I27" s="1"/>
      <c r="J27" s="1"/>
    </row>
    <row r="28" spans="1:10">
      <c r="A28" s="10" t="s">
        <v>26</v>
      </c>
      <c r="B28" s="10">
        <v>6000</v>
      </c>
      <c r="C28" s="26"/>
      <c r="D28" s="1"/>
      <c r="E28" s="1"/>
      <c r="F28" s="1"/>
      <c r="G28" s="1"/>
      <c r="H28" s="1"/>
      <c r="I28" s="1"/>
      <c r="J28" s="1"/>
    </row>
    <row r="29" spans="1:10">
      <c r="A29" s="10" t="s">
        <v>23</v>
      </c>
      <c r="B29" s="10">
        <v>1000</v>
      </c>
      <c r="C29" s="26"/>
      <c r="D29" s="1"/>
      <c r="E29" s="1"/>
      <c r="F29" s="1"/>
      <c r="G29" s="1"/>
      <c r="H29" s="1"/>
      <c r="I29" s="1"/>
      <c r="J29" s="1"/>
    </row>
    <row r="30" spans="1:10">
      <c r="A30" s="10" t="s">
        <v>27</v>
      </c>
      <c r="B30" s="10">
        <v>1000</v>
      </c>
      <c r="C30" s="26"/>
      <c r="D30" s="1"/>
      <c r="E30" s="1"/>
      <c r="F30" s="1"/>
      <c r="G30" s="1"/>
      <c r="H30" s="1"/>
      <c r="I30" s="1"/>
      <c r="J30" s="1"/>
    </row>
    <row r="31" spans="1:10">
      <c r="A31" s="10" t="s">
        <v>65</v>
      </c>
      <c r="B31" s="10">
        <v>500</v>
      </c>
      <c r="C31" s="26"/>
      <c r="D31" s="1"/>
      <c r="E31" s="1"/>
      <c r="F31" s="1"/>
      <c r="G31" s="1"/>
      <c r="H31" s="1"/>
      <c r="I31" s="1"/>
      <c r="J31" s="1"/>
    </row>
    <row r="32" spans="1:10">
      <c r="A32" s="1" t="s">
        <v>69</v>
      </c>
      <c r="B32" s="1">
        <v>500</v>
      </c>
      <c r="C32" s="18"/>
      <c r="D32" s="1"/>
      <c r="E32" s="1"/>
      <c r="F32" s="1"/>
      <c r="G32" s="1"/>
      <c r="H32" s="1"/>
      <c r="I32" s="1"/>
      <c r="J32" s="1"/>
    </row>
    <row r="33" spans="1:10">
      <c r="A33" s="10" t="s">
        <v>24</v>
      </c>
      <c r="B33" s="10">
        <v>500</v>
      </c>
      <c r="C33" s="26"/>
      <c r="D33" s="1"/>
      <c r="E33" s="1"/>
      <c r="F33" s="1"/>
      <c r="G33" s="1"/>
      <c r="H33" s="1"/>
      <c r="I33" s="1"/>
      <c r="J33" s="1"/>
    </row>
    <row r="34" spans="1:10">
      <c r="A34" s="2" t="s">
        <v>14</v>
      </c>
      <c r="B34" s="2">
        <f>SUM(B28:B33)</f>
        <v>9500</v>
      </c>
      <c r="C34" s="18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D195-5D77-A749-A232-89258BAB39C7}">
  <dimension ref="A2:L38"/>
  <sheetViews>
    <sheetView zoomScale="130" zoomScaleNormal="130" workbookViewId="0">
      <selection activeCell="A60" sqref="A60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46200+2000+2975</f>
        <v>51175</v>
      </c>
      <c r="B6" s="13">
        <f>Tabela11014182226303438424650545862667074788286909498102106110114118122126130[ENTRADA]*3/100</f>
        <v>1535.25</v>
      </c>
      <c r="C6" s="13">
        <f>Tabela11014182226303438424650545862667074788286909498102106110114118122126130[ENTRADA]*10/100</f>
        <v>5117.5</v>
      </c>
      <c r="D6" s="11">
        <f>Tabela11014182226303438424650545862667074788286909498102106110114118122126130[ENTRADA]-(Tabela11014182226303438424650545862667074788286909498102106110114118122126130[INSS 3%]+Tabela11014182226303438424650545862667074788286909498102106110114118122126130[DIZIMO 10%])</f>
        <v>44522.25</v>
      </c>
      <c r="E6" s="8">
        <f>Tabela11014182226303438424650545862667074788286909498102106110114118122126130[Renda 87%]-(B11+B22+B32)</f>
        <v>24532.25</v>
      </c>
      <c r="F6" s="11"/>
      <c r="G6" s="11"/>
      <c r="H6" s="11"/>
      <c r="I6" s="7">
        <f>B11+B22+B32</f>
        <v>19990</v>
      </c>
      <c r="J6" s="9">
        <f>Tabela11014182226303438424650545862667074788286909498102106110114118122126130[Sando Final]+I6</f>
        <v>44522.25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25" t="s">
        <v>107</v>
      </c>
      <c r="B9" s="25">
        <v>4000</v>
      </c>
      <c r="C9" s="24"/>
      <c r="D9" s="1"/>
      <c r="E9" s="1"/>
      <c r="F9" s="1"/>
      <c r="G9" s="1"/>
      <c r="H9" s="1"/>
      <c r="I9" s="1"/>
      <c r="J9" s="1"/>
      <c r="L9" s="19"/>
    </row>
    <row r="10" spans="1:12">
      <c r="A10" s="4" t="s">
        <v>113</v>
      </c>
      <c r="B10" s="4">
        <v>1300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2" t="s">
        <v>14</v>
      </c>
      <c r="B11" s="2">
        <f>SUM(B9:B10)</f>
        <v>5300</v>
      </c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1"/>
      <c r="B12" s="20"/>
      <c r="C12" s="1"/>
      <c r="D12" s="1"/>
      <c r="E12" s="1"/>
      <c r="F12" s="1"/>
      <c r="G12" s="1"/>
      <c r="H12" s="1"/>
      <c r="I12" s="1"/>
      <c r="J12" s="1"/>
    </row>
    <row r="13" spans="1:12">
      <c r="A13" s="4" t="s">
        <v>15</v>
      </c>
      <c r="B13" s="4" t="s">
        <v>10</v>
      </c>
      <c r="C13" s="27" t="s">
        <v>92</v>
      </c>
      <c r="D13" s="1"/>
      <c r="E13" s="1"/>
      <c r="F13" s="1"/>
      <c r="G13" s="1"/>
      <c r="H13" s="1"/>
      <c r="I13" s="1"/>
      <c r="J13" s="1"/>
    </row>
    <row r="14" spans="1:12">
      <c r="A14" s="10" t="s">
        <v>16</v>
      </c>
      <c r="B14" s="10">
        <v>5000</v>
      </c>
      <c r="C14" s="18"/>
      <c r="D14" s="1"/>
      <c r="E14" s="1"/>
      <c r="F14" s="1"/>
      <c r="G14" s="1"/>
      <c r="H14" s="1"/>
      <c r="I14" s="1"/>
      <c r="J14" s="1"/>
    </row>
    <row r="15" spans="1:12">
      <c r="A15" s="23" t="s">
        <v>17</v>
      </c>
      <c r="B15" s="23">
        <v>500</v>
      </c>
      <c r="C15" s="18" t="s">
        <v>80</v>
      </c>
      <c r="D15" s="1"/>
      <c r="E15" s="1"/>
      <c r="F15" s="1"/>
      <c r="G15" s="1"/>
      <c r="H15" s="1"/>
      <c r="I15" s="1"/>
      <c r="J15" s="1"/>
    </row>
    <row r="16" spans="1:12">
      <c r="A16" s="23" t="s">
        <v>41</v>
      </c>
      <c r="B16" s="23">
        <v>1390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19</v>
      </c>
      <c r="B17" s="23">
        <v>500</v>
      </c>
      <c r="C17" s="18"/>
      <c r="D17" s="1"/>
      <c r="E17" s="1"/>
      <c r="F17" s="1"/>
      <c r="G17" s="1"/>
      <c r="H17" s="1"/>
      <c r="I17" s="1"/>
      <c r="J17" s="1"/>
    </row>
    <row r="18" spans="1:10">
      <c r="A18" s="10" t="s">
        <v>20</v>
      </c>
      <c r="B18" s="10">
        <v>600</v>
      </c>
      <c r="C18" s="18" t="s">
        <v>80</v>
      </c>
      <c r="D18" s="1"/>
      <c r="E18" s="1"/>
      <c r="F18" s="1"/>
      <c r="G18" s="1"/>
      <c r="H18" s="1"/>
      <c r="I18" s="1"/>
      <c r="J18" s="1"/>
    </row>
    <row r="19" spans="1:10">
      <c r="A19" s="23" t="s">
        <v>63</v>
      </c>
      <c r="B19" s="23">
        <v>1500</v>
      </c>
      <c r="C19" s="18"/>
      <c r="D19" s="1"/>
      <c r="E19" s="1"/>
      <c r="F19" s="1"/>
      <c r="G19" s="1"/>
      <c r="H19" s="1"/>
      <c r="I19" s="1"/>
      <c r="J19" s="1"/>
    </row>
    <row r="20" spans="1:10">
      <c r="A20" s="1" t="s">
        <v>112</v>
      </c>
      <c r="B20" s="1">
        <v>1500</v>
      </c>
      <c r="C20" s="18"/>
      <c r="D20" s="1"/>
      <c r="E20" s="1"/>
      <c r="F20" s="1"/>
      <c r="G20" s="1"/>
      <c r="H20" s="1"/>
      <c r="I20" s="1"/>
      <c r="J20" s="1"/>
    </row>
    <row r="21" spans="1:10">
      <c r="A21" s="23" t="s">
        <v>64</v>
      </c>
      <c r="B21" s="23">
        <f>1500+2200</f>
        <v>3700</v>
      </c>
      <c r="C21" s="18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SUM(B14:B21)</f>
        <v>14690</v>
      </c>
      <c r="C22" s="18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4" t="s">
        <v>101</v>
      </c>
      <c r="D24" s="1"/>
      <c r="E24" s="1"/>
      <c r="F24" s="1"/>
      <c r="G24" s="1"/>
      <c r="H24" s="1"/>
      <c r="I24" s="1"/>
      <c r="J24" s="1"/>
    </row>
    <row r="25" spans="1:10">
      <c r="A25" s="10" t="s">
        <v>26</v>
      </c>
      <c r="B25" s="10">
        <v>6000</v>
      </c>
      <c r="C25" s="26"/>
      <c r="D25" s="1"/>
      <c r="E25" s="1"/>
      <c r="F25" s="1"/>
      <c r="G25" s="1"/>
      <c r="H25" s="1"/>
      <c r="I25" s="1"/>
      <c r="J25" s="1"/>
    </row>
    <row r="26" spans="1:10">
      <c r="A26" s="10" t="s">
        <v>23</v>
      </c>
      <c r="B26" s="10">
        <v>1000</v>
      </c>
      <c r="C26" s="26"/>
      <c r="D26" s="1"/>
      <c r="E26" s="1"/>
      <c r="F26" s="1"/>
      <c r="G26" s="1"/>
      <c r="H26" s="1"/>
      <c r="I26" s="1"/>
      <c r="J26" s="1"/>
    </row>
    <row r="27" spans="1:10">
      <c r="A27" s="10" t="s">
        <v>27</v>
      </c>
      <c r="B27" s="10">
        <v>1000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0">
      <c r="A28" s="10" t="s">
        <v>65</v>
      </c>
      <c r="B28" s="10">
        <v>500</v>
      </c>
      <c r="C28" s="26"/>
      <c r="D28" s="1"/>
      <c r="E28" s="1"/>
      <c r="F28" s="1"/>
      <c r="G28" s="1"/>
      <c r="H28" s="1"/>
      <c r="I28" s="1"/>
      <c r="J28" s="1"/>
    </row>
    <row r="29" spans="1:10">
      <c r="A29" s="1" t="s">
        <v>69</v>
      </c>
      <c r="B29" s="1">
        <v>200</v>
      </c>
      <c r="C29" s="18"/>
      <c r="D29" s="1"/>
      <c r="E29" s="1"/>
      <c r="F29" s="1"/>
      <c r="G29" s="1"/>
      <c r="H29" s="1"/>
      <c r="I29" s="1"/>
      <c r="J29" s="1"/>
    </row>
    <row r="30" spans="1:10">
      <c r="A30" s="1" t="s">
        <v>23</v>
      </c>
      <c r="B30" s="1">
        <v>2300</v>
      </c>
      <c r="C30" s="18" t="s">
        <v>80</v>
      </c>
      <c r="D30" s="1"/>
      <c r="E30" s="1"/>
      <c r="F30" s="1"/>
      <c r="G30" s="1"/>
      <c r="H30" s="1"/>
      <c r="I30" s="1"/>
      <c r="J30" s="1"/>
    </row>
    <row r="31" spans="1:10">
      <c r="A31" s="10" t="s">
        <v>24</v>
      </c>
      <c r="B31" s="10">
        <v>500</v>
      </c>
      <c r="C31" s="26"/>
      <c r="D31" s="1"/>
      <c r="E31" s="1"/>
      <c r="F31" s="1"/>
      <c r="G31" s="1"/>
      <c r="H31" s="1"/>
      <c r="I31" s="1"/>
      <c r="J31" s="1"/>
    </row>
    <row r="32" spans="1:10">
      <c r="A32" s="2"/>
      <c r="B32" s="2"/>
      <c r="C32" s="18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D5B0-4912-7D42-AA49-B0BE6AF7F537}">
  <dimension ref="A2:L38"/>
  <sheetViews>
    <sheetView zoomScale="130" zoomScaleNormal="130" workbookViewId="0">
      <selection activeCell="A37" sqref="A37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46200+2000+2975</f>
        <v>51175</v>
      </c>
      <c r="B6" s="13">
        <f>Tabela11014182226303438424650545862667074788286909498102106110114118122126[ENTRADA]*3/100</f>
        <v>1535.25</v>
      </c>
      <c r="C6" s="13">
        <f>Tabela11014182226303438424650545862667074788286909498102106110114118122126[ENTRADA]*10/100</f>
        <v>5117.5</v>
      </c>
      <c r="D6" s="11">
        <f>Tabela11014182226303438424650545862667074788286909498102106110114118122126[ENTRADA]-(Tabela11014182226303438424650545862667074788286909498102106110114118122126[INSS 3%]+Tabela11014182226303438424650545862667074788286909498102106110114118122126[DIZIMO 10%])</f>
        <v>44522.25</v>
      </c>
      <c r="E6" s="8">
        <f>Tabela11014182226303438424650545862667074788286909498102106110114118122126[Renda 87%]-(B11+B22+B32)</f>
        <v>13032.25</v>
      </c>
      <c r="F6" s="11"/>
      <c r="G6" s="11"/>
      <c r="H6" s="11"/>
      <c r="I6" s="7">
        <f>B11+B22+B32</f>
        <v>31490</v>
      </c>
      <c r="J6" s="9">
        <f>Tabela11014182226303438424650545862667074788286909498102106110114118122126[Sando Final]+I6</f>
        <v>44522.25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25" t="s">
        <v>107</v>
      </c>
      <c r="B9" s="25">
        <v>4000</v>
      </c>
      <c r="C9" s="24"/>
      <c r="D9" s="1"/>
      <c r="E9" s="1"/>
      <c r="F9" s="1"/>
      <c r="G9" s="1"/>
      <c r="H9" s="1"/>
      <c r="I9" s="1"/>
      <c r="J9" s="1"/>
      <c r="L9" s="19"/>
    </row>
    <row r="10" spans="1:12">
      <c r="A10" s="4" t="s">
        <v>113</v>
      </c>
      <c r="B10" s="4">
        <v>1300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2" t="s">
        <v>14</v>
      </c>
      <c r="B11" s="2">
        <f>SUM(B9:B10)</f>
        <v>5300</v>
      </c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1"/>
      <c r="B12" s="20"/>
      <c r="C12" s="1"/>
      <c r="D12" s="1"/>
      <c r="E12" s="1"/>
      <c r="F12" s="1"/>
      <c r="G12" s="1"/>
      <c r="H12" s="1"/>
      <c r="I12" s="1"/>
      <c r="J12" s="1"/>
    </row>
    <row r="13" spans="1:12">
      <c r="A13" s="4" t="s">
        <v>15</v>
      </c>
      <c r="B13" s="4" t="s">
        <v>10</v>
      </c>
      <c r="C13" s="27" t="s">
        <v>92</v>
      </c>
      <c r="D13" s="1"/>
      <c r="E13" s="1"/>
      <c r="F13" s="1"/>
      <c r="G13" s="1"/>
      <c r="H13" s="1"/>
      <c r="I13" s="1"/>
      <c r="J13" s="1"/>
    </row>
    <row r="14" spans="1:12">
      <c r="A14" s="10" t="s">
        <v>16</v>
      </c>
      <c r="B14" s="10">
        <v>5000</v>
      </c>
      <c r="C14" s="18"/>
      <c r="D14" s="1"/>
      <c r="E14" s="1"/>
      <c r="F14" s="1"/>
      <c r="G14" s="1"/>
      <c r="H14" s="1"/>
      <c r="I14" s="1"/>
      <c r="J14" s="1"/>
    </row>
    <row r="15" spans="1:12">
      <c r="A15" s="23" t="s">
        <v>17</v>
      </c>
      <c r="B15" s="23">
        <v>500</v>
      </c>
      <c r="C15" s="18" t="s">
        <v>80</v>
      </c>
      <c r="D15" s="1"/>
      <c r="E15" s="1"/>
      <c r="F15" s="1"/>
      <c r="G15" s="1"/>
      <c r="H15" s="1"/>
      <c r="I15" s="1"/>
      <c r="J15" s="1"/>
    </row>
    <row r="16" spans="1:12">
      <c r="A16" s="23" t="s">
        <v>41</v>
      </c>
      <c r="B16" s="23">
        <v>1390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19</v>
      </c>
      <c r="B17" s="23">
        <v>500</v>
      </c>
      <c r="C17" s="18"/>
      <c r="D17" s="1"/>
      <c r="E17" s="1"/>
      <c r="F17" s="1"/>
      <c r="G17" s="1"/>
      <c r="H17" s="1"/>
      <c r="I17" s="1"/>
      <c r="J17" s="1"/>
    </row>
    <row r="18" spans="1:10">
      <c r="A18" s="10" t="s">
        <v>20</v>
      </c>
      <c r="B18" s="10">
        <v>600</v>
      </c>
      <c r="C18" s="18" t="s">
        <v>80</v>
      </c>
      <c r="D18" s="1"/>
      <c r="E18" s="1"/>
      <c r="F18" s="1"/>
      <c r="G18" s="1"/>
      <c r="H18" s="1"/>
      <c r="I18" s="1"/>
      <c r="J18" s="1"/>
    </row>
    <row r="19" spans="1:10">
      <c r="A19" s="23" t="s">
        <v>63</v>
      </c>
      <c r="B19" s="23">
        <v>1500</v>
      </c>
      <c r="C19" s="18"/>
      <c r="D19" s="1"/>
      <c r="E19" s="1"/>
      <c r="F19" s="1"/>
      <c r="G19" s="1"/>
      <c r="H19" s="1"/>
      <c r="I19" s="1"/>
      <c r="J19" s="1"/>
    </row>
    <row r="20" spans="1:10">
      <c r="A20" s="1" t="s">
        <v>112</v>
      </c>
      <c r="B20" s="1">
        <v>1500</v>
      </c>
      <c r="C20" s="18"/>
      <c r="D20" s="1"/>
      <c r="E20" s="1"/>
      <c r="F20" s="1"/>
      <c r="G20" s="1"/>
      <c r="H20" s="1"/>
      <c r="I20" s="1"/>
      <c r="J20" s="1"/>
    </row>
    <row r="21" spans="1:10">
      <c r="A21" s="23" t="s">
        <v>64</v>
      </c>
      <c r="B21" s="23">
        <f>1500+2200</f>
        <v>3700</v>
      </c>
      <c r="C21" s="18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SUM(B14:B21)</f>
        <v>14690</v>
      </c>
      <c r="C22" s="18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4" t="s">
        <v>101</v>
      </c>
      <c r="D24" s="1"/>
      <c r="E24" s="1"/>
      <c r="F24" s="1"/>
      <c r="G24" s="1"/>
      <c r="H24" s="1"/>
      <c r="I24" s="1"/>
      <c r="J24" s="1"/>
    </row>
    <row r="25" spans="1:10">
      <c r="A25" s="10" t="s">
        <v>26</v>
      </c>
      <c r="B25" s="10">
        <v>6000</v>
      </c>
      <c r="C25" s="26"/>
      <c r="D25" s="1"/>
      <c r="E25" s="1"/>
      <c r="F25" s="1"/>
      <c r="G25" s="1"/>
      <c r="H25" s="1"/>
      <c r="I25" s="1"/>
      <c r="J25" s="1"/>
    </row>
    <row r="26" spans="1:10">
      <c r="A26" s="10" t="s">
        <v>23</v>
      </c>
      <c r="B26" s="10">
        <v>1000</v>
      </c>
      <c r="C26" s="26"/>
      <c r="D26" s="1"/>
      <c r="E26" s="1"/>
      <c r="F26" s="1"/>
      <c r="G26" s="1"/>
      <c r="H26" s="1"/>
      <c r="I26" s="1"/>
      <c r="J26" s="1"/>
    </row>
    <row r="27" spans="1:10">
      <c r="A27" s="10" t="s">
        <v>27</v>
      </c>
      <c r="B27" s="10">
        <v>1000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0">
      <c r="A28" s="10" t="s">
        <v>65</v>
      </c>
      <c r="B28" s="10">
        <v>500</v>
      </c>
      <c r="C28" s="26"/>
      <c r="D28" s="1"/>
      <c r="E28" s="1"/>
      <c r="F28" s="1"/>
      <c r="G28" s="1"/>
      <c r="H28" s="1"/>
      <c r="I28" s="1"/>
      <c r="J28" s="1"/>
    </row>
    <row r="29" spans="1:10">
      <c r="A29" s="1" t="s">
        <v>69</v>
      </c>
      <c r="B29" s="1">
        <v>200</v>
      </c>
      <c r="C29" s="18"/>
      <c r="D29" s="1"/>
      <c r="E29" s="1"/>
      <c r="F29" s="1"/>
      <c r="G29" s="1"/>
      <c r="H29" s="1"/>
      <c r="I29" s="1"/>
      <c r="J29" s="1"/>
    </row>
    <row r="30" spans="1:10">
      <c r="A30" s="1" t="s">
        <v>23</v>
      </c>
      <c r="B30" s="1">
        <v>2300</v>
      </c>
      <c r="C30" s="18" t="s">
        <v>80</v>
      </c>
      <c r="D30" s="1"/>
      <c r="E30" s="1"/>
      <c r="F30" s="1"/>
      <c r="G30" s="1"/>
      <c r="H30" s="1"/>
      <c r="I30" s="1"/>
      <c r="J30" s="1"/>
    </row>
    <row r="31" spans="1:10">
      <c r="A31" s="10" t="s">
        <v>24</v>
      </c>
      <c r="B31" s="10">
        <v>500</v>
      </c>
      <c r="C31" s="26"/>
      <c r="D31" s="1"/>
      <c r="E31" s="1"/>
      <c r="F31" s="1"/>
      <c r="G31" s="1"/>
      <c r="H31" s="1"/>
      <c r="I31" s="1"/>
      <c r="J31" s="1"/>
    </row>
    <row r="32" spans="1:10">
      <c r="A32" s="2" t="s">
        <v>14</v>
      </c>
      <c r="B32" s="2">
        <f>SUM(B25:B31)</f>
        <v>11500</v>
      </c>
      <c r="C32" s="18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D23C-009A-0541-A70C-14458315D9BC}">
  <dimension ref="A2:L36"/>
  <sheetViews>
    <sheetView topLeftCell="A3" zoomScale="130" zoomScaleNormal="130" workbookViewId="0">
      <selection activeCell="A6" sqref="A6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32725+18150</f>
        <v>50875</v>
      </c>
      <c r="B6" s="13">
        <f>Tabela11014182226303438424650545862667074788286909498102106110114118122126134[ENTRADA]*3/100</f>
        <v>1526.25</v>
      </c>
      <c r="C6" s="13">
        <f>Tabela11014182226303438424650545862667074788286909498102106110114118122126134[ENTRADA]*10/100</f>
        <v>5087.5</v>
      </c>
      <c r="D6" s="11">
        <f>Tabela11014182226303438424650545862667074788286909498102106110114118122126134[ENTRADA]-(Tabela11014182226303438424650545862667074788286909498102106110114118122126134[INSS 3%]+Tabela11014182226303438424650545862667074788286909498102106110114118122126134[DIZIMO 10%])</f>
        <v>44261.25</v>
      </c>
      <c r="E6" s="8">
        <f>Tabela11014182226303438424650545862667074788286909498102106110114118122126134[Renda 87%]-(B11+B21+B30)</f>
        <v>14371.25</v>
      </c>
      <c r="F6" s="11"/>
      <c r="G6" s="11"/>
      <c r="H6" s="11"/>
      <c r="I6" s="7">
        <f>B11+B21+B30</f>
        <v>29890</v>
      </c>
      <c r="J6" s="9">
        <f>Tabela11014182226303438424650545862667074788286909498102106110114118122126134[Sando Final]+I6</f>
        <v>44261.25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25" t="s">
        <v>107</v>
      </c>
      <c r="B9" s="25">
        <v>4000</v>
      </c>
      <c r="C9" s="24"/>
      <c r="D9" s="1"/>
      <c r="E9" s="1"/>
      <c r="F9" s="1"/>
      <c r="G9" s="1"/>
      <c r="H9" s="1"/>
      <c r="I9" s="1"/>
      <c r="J9" s="1"/>
      <c r="L9" s="19"/>
    </row>
    <row r="10" spans="1:12">
      <c r="A10" s="4" t="s">
        <v>99</v>
      </c>
      <c r="B10" s="4">
        <v>7000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2" t="s">
        <v>14</v>
      </c>
      <c r="B11" s="2">
        <f>SUM(B9:B10)</f>
        <v>11000</v>
      </c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1"/>
      <c r="B12" s="20"/>
      <c r="C12" s="1"/>
      <c r="D12" s="1"/>
      <c r="E12" s="1"/>
      <c r="F12" s="1"/>
      <c r="G12" s="1"/>
      <c r="H12" s="1"/>
      <c r="I12" s="1"/>
      <c r="J12" s="1"/>
    </row>
    <row r="13" spans="1:12">
      <c r="A13" s="4" t="s">
        <v>15</v>
      </c>
      <c r="B13" s="4" t="s">
        <v>10</v>
      </c>
      <c r="C13" s="27" t="s">
        <v>92</v>
      </c>
      <c r="D13" s="1"/>
      <c r="E13" s="1"/>
      <c r="F13" s="1"/>
      <c r="G13" s="1"/>
      <c r="H13" s="1"/>
      <c r="I13" s="1"/>
      <c r="J13" s="1"/>
    </row>
    <row r="14" spans="1:12">
      <c r="A14" s="10" t="s">
        <v>16</v>
      </c>
      <c r="B14" s="10"/>
      <c r="C14" s="18"/>
      <c r="D14" s="1"/>
      <c r="E14" s="1"/>
      <c r="F14" s="1"/>
      <c r="G14" s="1"/>
      <c r="H14" s="1"/>
      <c r="I14" s="1"/>
      <c r="J14" s="1"/>
    </row>
    <row r="15" spans="1:12">
      <c r="A15" s="23" t="s">
        <v>17</v>
      </c>
      <c r="B15" s="23">
        <v>7000</v>
      </c>
      <c r="C15" s="18" t="s">
        <v>80</v>
      </c>
      <c r="D15" s="1"/>
      <c r="E15" s="1"/>
      <c r="F15" s="1"/>
      <c r="G15" s="1"/>
      <c r="H15" s="1"/>
      <c r="I15" s="1"/>
      <c r="J15" s="1"/>
    </row>
    <row r="16" spans="1:12">
      <c r="A16" s="23" t="s">
        <v>41</v>
      </c>
      <c r="B16" s="23">
        <v>1390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19</v>
      </c>
      <c r="B17" s="23">
        <v>500</v>
      </c>
      <c r="C17" s="18"/>
      <c r="D17" s="1"/>
      <c r="E17" s="1"/>
      <c r="F17" s="1"/>
      <c r="G17" s="1"/>
      <c r="H17" s="1"/>
      <c r="I17" s="1"/>
      <c r="J17" s="1"/>
    </row>
    <row r="18" spans="1:10">
      <c r="A18" s="10" t="s">
        <v>20</v>
      </c>
      <c r="B18" s="10">
        <v>600</v>
      </c>
      <c r="C18" s="18" t="s">
        <v>80</v>
      </c>
      <c r="D18" s="1"/>
      <c r="E18" s="1"/>
      <c r="F18" s="1"/>
      <c r="G18" s="1"/>
      <c r="H18" s="1"/>
      <c r="I18" s="1"/>
      <c r="J18" s="1"/>
    </row>
    <row r="19" spans="1:10">
      <c r="A19" s="23" t="s">
        <v>63</v>
      </c>
      <c r="B19" s="23">
        <v>1500</v>
      </c>
      <c r="C19" s="18"/>
      <c r="D19" s="1"/>
      <c r="E19" s="1"/>
      <c r="F19" s="1"/>
      <c r="G19" s="1"/>
      <c r="H19" s="1"/>
      <c r="I19" s="1"/>
      <c r="J19" s="1"/>
    </row>
    <row r="20" spans="1:10">
      <c r="A20" s="23" t="s">
        <v>64</v>
      </c>
      <c r="B20" s="23">
        <f>1500+2200</f>
        <v>3700</v>
      </c>
      <c r="C20" s="18"/>
      <c r="D20" s="1"/>
      <c r="E20" s="1"/>
      <c r="F20" s="1"/>
      <c r="G20" s="1"/>
      <c r="H20" s="1"/>
      <c r="I20" s="1"/>
      <c r="J20" s="1"/>
    </row>
    <row r="21" spans="1:10">
      <c r="A21" s="2" t="s">
        <v>14</v>
      </c>
      <c r="B21" s="2">
        <f>SUM(B14:B20)</f>
        <v>14690</v>
      </c>
      <c r="C21" s="18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5" t="s">
        <v>22</v>
      </c>
      <c r="B23" s="6" t="s">
        <v>10</v>
      </c>
      <c r="C23" s="4" t="s">
        <v>101</v>
      </c>
      <c r="D23" s="1"/>
      <c r="E23" s="1"/>
      <c r="F23" s="1"/>
      <c r="G23" s="1"/>
      <c r="H23" s="1"/>
      <c r="I23" s="1"/>
      <c r="J23" s="1"/>
    </row>
    <row r="24" spans="1:10">
      <c r="A24" s="10" t="s">
        <v>26</v>
      </c>
      <c r="B24" s="10"/>
      <c r="C24" s="26">
        <v>6000</v>
      </c>
      <c r="D24" s="1"/>
      <c r="E24" s="1"/>
      <c r="F24" s="1"/>
      <c r="G24" s="1"/>
      <c r="H24" s="1"/>
      <c r="I24" s="1"/>
      <c r="J24" s="1"/>
    </row>
    <row r="25" spans="1:10">
      <c r="A25" s="10" t="s">
        <v>23</v>
      </c>
      <c r="B25" s="10">
        <v>2000</v>
      </c>
      <c r="C25" s="26"/>
      <c r="D25" s="1"/>
      <c r="E25" s="1"/>
      <c r="F25" s="1"/>
      <c r="G25" s="1"/>
      <c r="H25" s="1"/>
      <c r="I25" s="1"/>
      <c r="J25" s="1"/>
    </row>
    <row r="26" spans="1:10">
      <c r="A26" s="10" t="s">
        <v>27</v>
      </c>
      <c r="B26" s="10">
        <v>1000</v>
      </c>
      <c r="C26" s="26" t="s">
        <v>80</v>
      </c>
      <c r="D26" s="1"/>
      <c r="E26" s="1"/>
      <c r="F26" s="1"/>
      <c r="G26" s="1"/>
      <c r="H26" s="1"/>
      <c r="I26" s="1"/>
      <c r="J26" s="1"/>
    </row>
    <row r="27" spans="1:10">
      <c r="A27" s="10" t="s">
        <v>65</v>
      </c>
      <c r="B27" s="10">
        <v>500</v>
      </c>
      <c r="C27" s="26"/>
      <c r="D27" s="1"/>
      <c r="E27" s="1"/>
      <c r="F27" s="1"/>
      <c r="G27" s="1"/>
      <c r="H27" s="1"/>
      <c r="I27" s="1"/>
      <c r="J27" s="1"/>
    </row>
    <row r="28" spans="1:10">
      <c r="A28" s="1" t="s">
        <v>69</v>
      </c>
      <c r="B28" s="1">
        <v>200</v>
      </c>
      <c r="C28" s="18"/>
      <c r="D28" s="1"/>
      <c r="E28" s="1"/>
      <c r="F28" s="1"/>
      <c r="G28" s="1"/>
      <c r="H28" s="1"/>
      <c r="I28" s="1"/>
      <c r="J28" s="1"/>
    </row>
    <row r="29" spans="1:10">
      <c r="A29" s="10" t="s">
        <v>24</v>
      </c>
      <c r="B29" s="10">
        <v>500</v>
      </c>
      <c r="C29" s="26"/>
      <c r="D29" s="1"/>
      <c r="E29" s="1"/>
      <c r="F29" s="1"/>
      <c r="G29" s="1"/>
      <c r="H29" s="1"/>
      <c r="I29" s="1"/>
      <c r="J29" s="1"/>
    </row>
    <row r="30" spans="1:10">
      <c r="A30" s="2" t="s">
        <v>14</v>
      </c>
      <c r="B30" s="2">
        <f>SUM(B24:B29)</f>
        <v>4200</v>
      </c>
      <c r="C30" s="18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A51CC-512C-1245-9A30-E4760916D8E7}">
  <dimension ref="A2:L37"/>
  <sheetViews>
    <sheetView topLeftCell="A2" zoomScale="130" zoomScaleNormal="130" workbookViewId="0">
      <selection activeCell="N2" sqref="N2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32725+18150</f>
        <v>50875</v>
      </c>
      <c r="B6" s="13">
        <f>Tabela11014182226303438424650545862667074788286909498102106110114118122126134138[ENTRADA]*3/100</f>
        <v>1526.25</v>
      </c>
      <c r="C6" s="13">
        <f>Tabela11014182226303438424650545862667074788286909498102106110114118122126134138[ENTRADA]*10/100</f>
        <v>5087.5</v>
      </c>
      <c r="D6" s="11">
        <f>Tabela11014182226303438424650545862667074788286909498102106110114118122126134138[ENTRADA]-(Tabela11014182226303438424650545862667074788286909498102106110114118122126134138[INSS 3%]+Tabela11014182226303438424650545862667074788286909498102106110114118122126134138[DIZIMO 10%])</f>
        <v>44261.25</v>
      </c>
      <c r="E6" s="8">
        <f>Tabela11014182226303438424650545862667074788286909498102106110114118122126134138[Renda 87%]-(B11+B22+B31)</f>
        <v>10071.25</v>
      </c>
      <c r="F6" s="11"/>
      <c r="G6" s="11"/>
      <c r="H6" s="11"/>
      <c r="I6" s="7">
        <f>B11+B22+B31</f>
        <v>34190</v>
      </c>
      <c r="J6" s="9">
        <f>Tabela11014182226303438424650545862667074788286909498102106110114118122126134138[Sando Final]+I6</f>
        <v>44261.25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25" t="s">
        <v>114</v>
      </c>
      <c r="B9" s="25">
        <v>1500</v>
      </c>
      <c r="C9" s="24"/>
      <c r="D9" s="1"/>
      <c r="E9" s="1"/>
      <c r="F9" s="1"/>
      <c r="G9" s="1"/>
      <c r="H9" s="1"/>
      <c r="I9" s="1"/>
      <c r="J9" s="1"/>
      <c r="L9" s="19"/>
    </row>
    <row r="10" spans="1:12">
      <c r="A10" s="4" t="s">
        <v>99</v>
      </c>
      <c r="B10" s="4">
        <v>1600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2" t="s">
        <v>14</v>
      </c>
      <c r="B11" s="2">
        <f>SUM(B9:B10)</f>
        <v>3100</v>
      </c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1"/>
      <c r="B12" s="20"/>
      <c r="C12" s="1"/>
      <c r="D12" s="1"/>
      <c r="E12" s="1"/>
      <c r="F12" s="1"/>
      <c r="G12" s="1"/>
      <c r="H12" s="1"/>
      <c r="I12" s="1"/>
      <c r="J12" s="1"/>
    </row>
    <row r="13" spans="1:12">
      <c r="A13" s="4" t="s">
        <v>15</v>
      </c>
      <c r="B13" s="4" t="s">
        <v>10</v>
      </c>
      <c r="C13" s="27" t="s">
        <v>92</v>
      </c>
      <c r="D13" s="1"/>
      <c r="E13" s="1"/>
      <c r="F13" s="1"/>
      <c r="G13" s="1"/>
      <c r="H13" s="1"/>
      <c r="I13" s="1"/>
      <c r="J13" s="1"/>
    </row>
    <row r="14" spans="1:12">
      <c r="A14" s="10" t="s">
        <v>16</v>
      </c>
      <c r="B14" s="10">
        <v>10000</v>
      </c>
      <c r="C14" s="18"/>
      <c r="D14" s="1"/>
      <c r="E14" s="1"/>
      <c r="F14" s="1"/>
      <c r="G14" s="1"/>
      <c r="H14" s="1"/>
      <c r="I14" s="1"/>
      <c r="J14" s="1"/>
    </row>
    <row r="15" spans="1:12">
      <c r="A15" s="23" t="s">
        <v>17</v>
      </c>
      <c r="B15" s="23">
        <v>1000</v>
      </c>
      <c r="C15" s="18" t="s">
        <v>80</v>
      </c>
      <c r="D15" s="1"/>
      <c r="E15" s="1"/>
      <c r="F15" s="1"/>
      <c r="G15" s="1"/>
      <c r="H15" s="1"/>
      <c r="I15" s="1"/>
      <c r="J15" s="1"/>
    </row>
    <row r="16" spans="1:12">
      <c r="A16" s="23" t="s">
        <v>41</v>
      </c>
      <c r="B16" s="23">
        <v>1390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19</v>
      </c>
      <c r="B17" s="23">
        <v>500</v>
      </c>
      <c r="C17" s="18"/>
      <c r="D17" s="1"/>
      <c r="E17" s="1"/>
      <c r="F17" s="1"/>
      <c r="G17" s="1"/>
      <c r="H17" s="1"/>
      <c r="I17" s="1"/>
      <c r="J17" s="1"/>
    </row>
    <row r="18" spans="1:10">
      <c r="A18" s="1" t="s">
        <v>115</v>
      </c>
      <c r="B18" s="1">
        <v>7400</v>
      </c>
      <c r="C18" s="18"/>
      <c r="D18" s="1"/>
      <c r="E18" s="1"/>
      <c r="F18" s="1"/>
      <c r="G18" s="1"/>
      <c r="H18" s="1"/>
      <c r="I18" s="1"/>
      <c r="J18" s="1"/>
    </row>
    <row r="19" spans="1:10">
      <c r="A19" s="10" t="s">
        <v>20</v>
      </c>
      <c r="B19" s="10">
        <v>600</v>
      </c>
      <c r="C19" s="18" t="s">
        <v>80</v>
      </c>
      <c r="D19" s="1"/>
      <c r="E19" s="1"/>
      <c r="F19" s="1"/>
      <c r="G19" s="1"/>
      <c r="H19" s="1"/>
      <c r="I19" s="1"/>
      <c r="J19" s="1"/>
    </row>
    <row r="20" spans="1:10">
      <c r="A20" s="23" t="s">
        <v>63</v>
      </c>
      <c r="B20" s="23">
        <v>2500</v>
      </c>
      <c r="C20" s="18"/>
      <c r="D20" s="1"/>
      <c r="E20" s="1"/>
      <c r="F20" s="1"/>
      <c r="G20" s="1"/>
      <c r="H20" s="1"/>
      <c r="I20" s="1"/>
      <c r="J20" s="1"/>
    </row>
    <row r="21" spans="1:10">
      <c r="A21" s="23" t="s">
        <v>64</v>
      </c>
      <c r="B21" s="23">
        <v>2500</v>
      </c>
      <c r="C21" s="18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SUM(B14:B21)</f>
        <v>25890</v>
      </c>
      <c r="C22" s="18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4" t="s">
        <v>101</v>
      </c>
      <c r="D24" s="1"/>
      <c r="E24" s="1"/>
      <c r="F24" s="1"/>
      <c r="G24" s="1"/>
      <c r="H24" s="1"/>
      <c r="I24" s="1"/>
      <c r="J24" s="1"/>
    </row>
    <row r="25" spans="1:10">
      <c r="A25" s="10" t="s">
        <v>26</v>
      </c>
      <c r="B25" s="10">
        <v>3000</v>
      </c>
      <c r="C25" s="26"/>
      <c r="D25" s="1"/>
      <c r="E25" s="1"/>
      <c r="F25" s="1"/>
      <c r="G25" s="1"/>
      <c r="H25" s="1"/>
      <c r="I25" s="1"/>
      <c r="J25" s="1"/>
    </row>
    <row r="26" spans="1:10">
      <c r="A26" s="10" t="s">
        <v>23</v>
      </c>
      <c r="B26" s="10"/>
      <c r="C26" s="26"/>
      <c r="D26" s="1"/>
      <c r="E26" s="1"/>
      <c r="F26" s="1"/>
      <c r="G26" s="1"/>
      <c r="H26" s="1"/>
      <c r="I26" s="1"/>
      <c r="J26" s="1"/>
    </row>
    <row r="27" spans="1:10">
      <c r="A27" s="10" t="s">
        <v>27</v>
      </c>
      <c r="B27" s="10">
        <v>1000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0">
      <c r="A28" s="10" t="s">
        <v>65</v>
      </c>
      <c r="B28" s="10">
        <v>500</v>
      </c>
      <c r="C28" s="26"/>
      <c r="D28" s="1"/>
      <c r="E28" s="1"/>
      <c r="F28" s="1"/>
      <c r="G28" s="1"/>
      <c r="H28" s="1"/>
      <c r="I28" s="1"/>
      <c r="J28" s="1"/>
    </row>
    <row r="29" spans="1:10">
      <c r="A29" s="1" t="s">
        <v>69</v>
      </c>
      <c r="B29" s="1">
        <v>200</v>
      </c>
      <c r="C29" s="18"/>
      <c r="D29" s="1"/>
      <c r="E29" s="1"/>
      <c r="F29" s="1"/>
      <c r="G29" s="1"/>
      <c r="H29" s="1"/>
      <c r="I29" s="1"/>
      <c r="J29" s="1"/>
    </row>
    <row r="30" spans="1:10">
      <c r="A30" s="10" t="s">
        <v>24</v>
      </c>
      <c r="B30" s="10">
        <v>500</v>
      </c>
      <c r="C30" s="26"/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SUM(B25:B30)</f>
        <v>5200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419B-862E-4282-BE8E-A3D71C103E13}">
  <dimension ref="A2:L38"/>
  <sheetViews>
    <sheetView topLeftCell="A7" zoomScale="130" zoomScaleNormal="130" workbookViewId="0">
      <selection activeCell="D28" sqref="D28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32725+18150</f>
        <v>50875</v>
      </c>
      <c r="B6" s="13">
        <f>Tabela11014182226303438424650545862667074788286909498102106110114118122126134138142[ENTRADA]*3/100</f>
        <v>1526.25</v>
      </c>
      <c r="C6" s="13">
        <f>Tabela11014182226303438424650545862667074788286909498102106110114118122126134138142[ENTRADA]*10/100</f>
        <v>5087.5</v>
      </c>
      <c r="D6" s="11">
        <f>Tabela11014182226303438424650545862667074788286909498102106110114118122126134138142[ENTRADA]-(Tabela11014182226303438424650545862667074788286909498102106110114118122126134138142[INSS 3%]+Tabela11014182226303438424650545862667074788286909498102106110114118122126134138142[DIZIMO 10%])</f>
        <v>44261.25</v>
      </c>
      <c r="E6" s="8">
        <f>Tabela11014182226303438424650545862667074788286909498102106110114118122126134138142[Renda 87%]-(B12+B23+B32)</f>
        <v>10611.25</v>
      </c>
      <c r="F6" s="11"/>
      <c r="G6" s="11"/>
      <c r="H6" s="11"/>
      <c r="I6" s="7">
        <f>B12+B23+B32</f>
        <v>33650</v>
      </c>
      <c r="J6" s="9">
        <f>Tabela11014182226303438424650545862667074788286909498102106110114118122126134138142[Sando Final]+I6</f>
        <v>44261.25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25" t="s">
        <v>116</v>
      </c>
      <c r="B9" s="25">
        <v>1500</v>
      </c>
      <c r="C9" s="24"/>
      <c r="D9" s="1"/>
      <c r="E9" s="1"/>
      <c r="F9" s="1"/>
      <c r="G9" s="1"/>
      <c r="H9" s="1"/>
      <c r="I9" s="1"/>
      <c r="J9" s="1"/>
      <c r="L9" s="19"/>
    </row>
    <row r="10" spans="1:12">
      <c r="A10" s="4" t="s">
        <v>117</v>
      </c>
      <c r="B10" s="4">
        <v>600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59</v>
      </c>
      <c r="B11" s="4">
        <v>1000</v>
      </c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2" t="s">
        <v>14</v>
      </c>
      <c r="B12" s="2">
        <f>SUM(B9:B11)</f>
        <v>3100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1"/>
      <c r="B13" s="20"/>
      <c r="C13" s="1"/>
      <c r="D13" s="1"/>
      <c r="E13" s="1"/>
      <c r="F13" s="1"/>
      <c r="G13" s="1"/>
      <c r="H13" s="1"/>
      <c r="I13" s="1"/>
      <c r="J13" s="1"/>
    </row>
    <row r="14" spans="1:12">
      <c r="A14" s="4" t="s">
        <v>15</v>
      </c>
      <c r="B14" s="4" t="s">
        <v>10</v>
      </c>
      <c r="C14" s="27" t="s">
        <v>92</v>
      </c>
      <c r="D14" s="1"/>
      <c r="E14" s="1"/>
      <c r="F14" s="1"/>
      <c r="G14" s="1"/>
      <c r="H14" s="1"/>
      <c r="I14" s="1"/>
      <c r="J14" s="1"/>
    </row>
    <row r="15" spans="1:12">
      <c r="A15" s="10" t="s">
        <v>16</v>
      </c>
      <c r="B15" s="10">
        <v>6000</v>
      </c>
      <c r="C15" s="18"/>
      <c r="D15" s="1"/>
      <c r="E15" s="1"/>
      <c r="F15" s="1"/>
      <c r="G15" s="1"/>
      <c r="H15" s="1"/>
      <c r="I15" s="1"/>
      <c r="J15" s="1"/>
    </row>
    <row r="16" spans="1:12">
      <c r="A16" s="23" t="s">
        <v>17</v>
      </c>
      <c r="B16" s="23">
        <v>1000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41</v>
      </c>
      <c r="B17" s="23">
        <v>1100</v>
      </c>
      <c r="C17" s="18" t="s">
        <v>118</v>
      </c>
      <c r="D17" s="1"/>
      <c r="E17" s="1"/>
      <c r="F17" s="1"/>
      <c r="G17" s="1"/>
      <c r="H17" s="1"/>
      <c r="I17" s="1"/>
      <c r="J17" s="1"/>
    </row>
    <row r="18" spans="1:10">
      <c r="A18" s="23" t="s">
        <v>19</v>
      </c>
      <c r="B18" s="23">
        <v>500</v>
      </c>
      <c r="C18" s="18" t="s">
        <v>118</v>
      </c>
      <c r="D18" s="1"/>
      <c r="E18" s="1"/>
      <c r="F18" s="1"/>
      <c r="G18" s="1"/>
      <c r="H18" s="1"/>
      <c r="I18" s="1"/>
      <c r="J18" s="1"/>
    </row>
    <row r="19" spans="1:10">
      <c r="A19" s="1" t="s">
        <v>119</v>
      </c>
      <c r="B19" s="1">
        <v>4200</v>
      </c>
      <c r="C19" s="18" t="s">
        <v>118</v>
      </c>
      <c r="D19" s="1"/>
      <c r="E19" s="1"/>
      <c r="F19" s="1"/>
      <c r="G19" s="1"/>
      <c r="H19" s="1"/>
      <c r="I19" s="1"/>
      <c r="J19" s="1"/>
    </row>
    <row r="20" spans="1:10">
      <c r="A20" s="10" t="s">
        <v>20</v>
      </c>
      <c r="B20" s="10">
        <v>750</v>
      </c>
      <c r="C20" s="18"/>
      <c r="D20" s="1"/>
      <c r="E20" s="1"/>
      <c r="F20" s="1"/>
      <c r="G20" s="1"/>
      <c r="H20" s="1"/>
      <c r="I20" s="1"/>
      <c r="J20" s="1"/>
    </row>
    <row r="21" spans="1:10">
      <c r="A21" s="23" t="s">
        <v>63</v>
      </c>
      <c r="B21" s="23">
        <v>2000</v>
      </c>
      <c r="C21" s="18"/>
      <c r="D21" s="1"/>
      <c r="E21" s="1"/>
      <c r="F21" s="1"/>
      <c r="G21" s="1"/>
      <c r="H21" s="1"/>
      <c r="I21" s="1"/>
      <c r="J21" s="1"/>
    </row>
    <row r="22" spans="1:10">
      <c r="A22" s="23" t="s">
        <v>64</v>
      </c>
      <c r="B22" s="23">
        <v>2000</v>
      </c>
      <c r="C22" s="18"/>
      <c r="D22" s="1"/>
      <c r="E22" s="1"/>
      <c r="F22" s="1"/>
      <c r="G22" s="1"/>
      <c r="H22" s="1"/>
      <c r="I22" s="1"/>
      <c r="J22" s="1"/>
    </row>
    <row r="23" spans="1:10">
      <c r="A23" s="2" t="s">
        <v>14</v>
      </c>
      <c r="B23" s="2">
        <f>SUM(B15:B22)</f>
        <v>17550</v>
      </c>
      <c r="C23" s="18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5" t="s">
        <v>22</v>
      </c>
      <c r="B25" s="6" t="s">
        <v>10</v>
      </c>
      <c r="C25" s="4" t="s">
        <v>101</v>
      </c>
      <c r="D25" s="1"/>
      <c r="E25" s="1"/>
      <c r="F25" s="1"/>
      <c r="G25" s="1"/>
      <c r="H25" s="1"/>
      <c r="I25" s="1"/>
      <c r="J25" s="1"/>
    </row>
    <row r="26" spans="1:10">
      <c r="A26" s="10" t="s">
        <v>26</v>
      </c>
      <c r="B26" s="10">
        <v>6000</v>
      </c>
      <c r="C26" s="26"/>
      <c r="D26" s="1"/>
      <c r="E26" s="1"/>
      <c r="F26" s="1"/>
      <c r="G26" s="1"/>
      <c r="H26" s="1"/>
      <c r="I26" s="1"/>
      <c r="J26" s="1"/>
    </row>
    <row r="27" spans="1:10">
      <c r="A27" s="10" t="s">
        <v>23</v>
      </c>
      <c r="B27" s="10">
        <v>1000</v>
      </c>
      <c r="C27" s="26"/>
      <c r="D27" s="1"/>
      <c r="E27" s="1"/>
      <c r="F27" s="1"/>
      <c r="G27" s="1"/>
      <c r="H27" s="1"/>
      <c r="I27" s="1"/>
      <c r="J27" s="1"/>
    </row>
    <row r="28" spans="1:10">
      <c r="A28" s="10" t="s">
        <v>27</v>
      </c>
      <c r="B28" s="10">
        <v>5000</v>
      </c>
      <c r="C28" s="26"/>
      <c r="D28" s="1"/>
      <c r="E28" s="1"/>
      <c r="F28" s="1"/>
      <c r="G28" s="1"/>
      <c r="H28" s="1"/>
      <c r="I28" s="1"/>
      <c r="J28" s="1"/>
    </row>
    <row r="29" spans="1:10">
      <c r="A29" s="10" t="s">
        <v>65</v>
      </c>
      <c r="B29" s="10">
        <v>500</v>
      </c>
      <c r="C29" s="26"/>
      <c r="D29" s="1"/>
      <c r="E29" s="1"/>
      <c r="F29" s="1"/>
      <c r="G29" s="1"/>
      <c r="H29" s="1"/>
      <c r="I29" s="1"/>
      <c r="J29" s="1"/>
    </row>
    <row r="30" spans="1:10">
      <c r="A30" s="1" t="s">
        <v>69</v>
      </c>
      <c r="B30" s="1"/>
      <c r="C30" s="18"/>
      <c r="D30" s="1"/>
      <c r="E30" s="1"/>
      <c r="F30" s="1"/>
      <c r="G30" s="1"/>
      <c r="H30" s="1"/>
      <c r="I30" s="1"/>
      <c r="J30" s="1"/>
    </row>
    <row r="31" spans="1:10">
      <c r="A31" s="10" t="s">
        <v>24</v>
      </c>
      <c r="B31" s="10">
        <v>500</v>
      </c>
      <c r="C31" s="26"/>
      <c r="D31" s="1"/>
      <c r="E31" s="1"/>
      <c r="F31" s="1"/>
      <c r="G31" s="1"/>
      <c r="H31" s="1"/>
      <c r="I31" s="1"/>
      <c r="J31" s="1"/>
    </row>
    <row r="32" spans="1:10">
      <c r="A32" s="2" t="s">
        <v>14</v>
      </c>
      <c r="B32" s="2">
        <f>SUM(B26:B31)</f>
        <v>13000</v>
      </c>
      <c r="C32" s="18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A30C9-BA06-B84E-BFC2-EA1398DF428E}">
  <dimension ref="A2:L37"/>
  <sheetViews>
    <sheetView zoomScale="130" zoomScaleNormal="130" workbookViewId="0">
      <selection activeCell="D37" sqref="D37"/>
    </sheetView>
  </sheetViews>
  <sheetFormatPr defaultRowHeight="15"/>
  <cols>
    <col min="1" max="1" width="21.85546875" customWidth="1"/>
    <col min="2" max="2" width="20.7109375" customWidth="1"/>
    <col min="3" max="3" width="13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32725+18150</f>
        <v>50875</v>
      </c>
      <c r="B6" s="13">
        <f>Tabela11014182226303438424650545862667074788286909498102106110114118122126134138142146[ENTRADA]*3/100</f>
        <v>1526.25</v>
      </c>
      <c r="C6" s="13">
        <f>Tabela11014182226303438424650545862667074788286909498102106110114118122126134138142146[ENTRADA]*10/100</f>
        <v>5087.5</v>
      </c>
      <c r="D6" s="11">
        <f>Tabela11014182226303438424650545862667074788286909498102106110114118122126134138142146[ENTRADA]-(Tabela11014182226303438424650545862667074788286909498102106110114118122126134138142146[INSS 3%]+Tabela11014182226303438424650545862667074788286909498102106110114118122126134138142146[DIZIMO 10%])</f>
        <v>44261.25</v>
      </c>
      <c r="E6" s="8">
        <f>Tabela11014182226303438424650545862667074788286909498102106110114118122126134138142146[Renda 87%]-(B11+B23+B31)</f>
        <v>7211.25</v>
      </c>
      <c r="F6" s="11"/>
      <c r="G6" s="11"/>
      <c r="H6" s="11"/>
      <c r="I6" s="7">
        <f>B11+B23+B31</f>
        <v>37050</v>
      </c>
      <c r="J6" s="9">
        <f>Tabela11014182226303438424650545862667074788286909498102106110114118122126134138142146[Sando Final]+I6</f>
        <v>44261.25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120</v>
      </c>
      <c r="B9" s="4">
        <v>200</v>
      </c>
      <c r="C9" s="18"/>
      <c r="D9" s="1"/>
      <c r="E9" s="1"/>
      <c r="F9" s="1"/>
      <c r="G9" s="1"/>
      <c r="H9" s="1"/>
      <c r="I9" s="1"/>
      <c r="J9" s="1"/>
      <c r="L9" s="19"/>
    </row>
    <row r="10" spans="1:12">
      <c r="A10" s="4" t="s">
        <v>121</v>
      </c>
      <c r="B10" s="4">
        <v>1000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2" t="s">
        <v>14</v>
      </c>
      <c r="B11" s="2">
        <f>SUM(B9:B10)</f>
        <v>1200</v>
      </c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1"/>
      <c r="B12" s="20"/>
      <c r="C12" s="1"/>
      <c r="D12" s="1"/>
      <c r="E12" s="1"/>
      <c r="F12" s="1"/>
      <c r="G12" s="1"/>
      <c r="H12" s="1"/>
      <c r="I12" s="1"/>
      <c r="J12" s="1"/>
    </row>
    <row r="13" spans="1:12">
      <c r="A13" s="4" t="s">
        <v>15</v>
      </c>
      <c r="B13" s="4" t="s">
        <v>10</v>
      </c>
      <c r="C13" s="27" t="s">
        <v>92</v>
      </c>
      <c r="D13" s="1"/>
      <c r="E13" s="1"/>
      <c r="F13" s="1"/>
      <c r="G13" s="1"/>
      <c r="H13" s="1"/>
      <c r="I13" s="1"/>
      <c r="J13" s="1"/>
    </row>
    <row r="14" spans="1:12">
      <c r="A14" s="10" t="s">
        <v>16</v>
      </c>
      <c r="B14" s="10">
        <v>6000</v>
      </c>
      <c r="C14" s="18"/>
      <c r="D14" s="1"/>
      <c r="E14" s="1"/>
      <c r="F14" s="1"/>
      <c r="G14" s="1"/>
      <c r="H14" s="1"/>
      <c r="I14" s="1"/>
      <c r="J14" s="1"/>
    </row>
    <row r="15" spans="1:12">
      <c r="A15" s="23" t="s">
        <v>17</v>
      </c>
      <c r="B15" s="23">
        <v>600</v>
      </c>
      <c r="C15" s="18"/>
      <c r="D15" s="1"/>
      <c r="E15" s="1"/>
      <c r="F15" s="1"/>
      <c r="G15" s="1"/>
      <c r="H15" s="1"/>
      <c r="I15" s="1"/>
      <c r="J15" s="1"/>
    </row>
    <row r="16" spans="1:12">
      <c r="A16" s="23" t="s">
        <v>41</v>
      </c>
      <c r="B16" s="23">
        <v>1100</v>
      </c>
      <c r="C16" s="18" t="s">
        <v>118</v>
      </c>
      <c r="D16" s="1"/>
      <c r="E16" s="1"/>
      <c r="F16" s="1"/>
      <c r="G16" s="1"/>
      <c r="H16" s="1"/>
      <c r="I16" s="1"/>
      <c r="J16" s="1"/>
    </row>
    <row r="17" spans="1:10">
      <c r="A17" s="1" t="s">
        <v>122</v>
      </c>
      <c r="B17" s="1">
        <v>6000</v>
      </c>
      <c r="C17" s="18"/>
      <c r="D17" s="1"/>
      <c r="E17" s="1"/>
      <c r="F17" s="1"/>
      <c r="G17" s="1"/>
      <c r="H17" s="1"/>
      <c r="I17" s="1"/>
      <c r="J17" s="1"/>
    </row>
    <row r="18" spans="1:10">
      <c r="A18" s="23" t="s">
        <v>19</v>
      </c>
      <c r="B18" s="23">
        <v>500</v>
      </c>
      <c r="C18" s="18" t="s">
        <v>118</v>
      </c>
      <c r="D18" s="1"/>
      <c r="E18" s="1"/>
      <c r="F18" s="1"/>
      <c r="G18" s="1"/>
      <c r="H18" s="1"/>
      <c r="I18" s="1"/>
      <c r="J18" s="1"/>
    </row>
    <row r="19" spans="1:10">
      <c r="A19" s="1" t="s">
        <v>119</v>
      </c>
      <c r="B19" s="1">
        <v>5000</v>
      </c>
      <c r="C19" s="18" t="s">
        <v>118</v>
      </c>
      <c r="D19" s="1"/>
      <c r="E19" s="1"/>
      <c r="F19" s="1"/>
      <c r="G19" s="1"/>
      <c r="H19" s="1"/>
      <c r="I19" s="1"/>
      <c r="J19" s="1"/>
    </row>
    <row r="20" spans="1:10">
      <c r="A20" s="10" t="s">
        <v>20</v>
      </c>
      <c r="B20" s="10">
        <v>750</v>
      </c>
      <c r="C20" s="18"/>
      <c r="D20" s="1"/>
      <c r="E20" s="1"/>
      <c r="F20" s="1"/>
      <c r="G20" s="1"/>
      <c r="H20" s="1"/>
      <c r="I20" s="1"/>
      <c r="J20" s="1"/>
    </row>
    <row r="21" spans="1:10">
      <c r="A21" s="23" t="s">
        <v>63</v>
      </c>
      <c r="B21" s="23">
        <v>2500</v>
      </c>
      <c r="C21" s="18"/>
      <c r="D21" s="1"/>
      <c r="E21" s="1"/>
      <c r="F21" s="1"/>
      <c r="G21" s="1"/>
      <c r="H21" s="1"/>
      <c r="I21" s="1"/>
      <c r="J21" s="1"/>
    </row>
    <row r="22" spans="1:10">
      <c r="A22" s="23" t="s">
        <v>64</v>
      </c>
      <c r="B22" s="23">
        <v>5400</v>
      </c>
      <c r="C22" s="18"/>
      <c r="D22" s="1"/>
      <c r="E22" s="1"/>
      <c r="F22" s="1"/>
      <c r="G22" s="1"/>
      <c r="H22" s="1"/>
      <c r="I22" s="1"/>
      <c r="J22" s="1"/>
    </row>
    <row r="23" spans="1:10">
      <c r="A23" s="2" t="s">
        <v>14</v>
      </c>
      <c r="B23" s="2">
        <f>SUM(B14:B22)</f>
        <v>27850</v>
      </c>
      <c r="C23" s="18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5" t="s">
        <v>22</v>
      </c>
      <c r="B25" s="6" t="s">
        <v>10</v>
      </c>
      <c r="C25" s="4" t="s">
        <v>101</v>
      </c>
      <c r="D25" s="1"/>
      <c r="E25" s="1"/>
      <c r="F25" s="1"/>
      <c r="G25" s="1"/>
      <c r="H25" s="1"/>
      <c r="I25" s="1"/>
      <c r="J25" s="1"/>
    </row>
    <row r="26" spans="1:10">
      <c r="A26" s="10" t="s">
        <v>26</v>
      </c>
      <c r="B26" s="10">
        <v>6000</v>
      </c>
      <c r="C26" s="26"/>
      <c r="D26" s="1"/>
      <c r="E26" s="1"/>
      <c r="F26" s="1"/>
      <c r="G26" s="1"/>
      <c r="H26" s="1"/>
      <c r="I26" s="1"/>
      <c r="J26" s="1"/>
    </row>
    <row r="27" spans="1:10">
      <c r="A27" s="10" t="s">
        <v>27</v>
      </c>
      <c r="B27" s="10">
        <v>1000</v>
      </c>
      <c r="C27" s="26"/>
      <c r="D27" s="1"/>
      <c r="E27" s="1"/>
      <c r="F27" s="1"/>
      <c r="G27" s="1"/>
      <c r="H27" s="1"/>
      <c r="I27" s="1"/>
      <c r="J27" s="1"/>
    </row>
    <row r="28" spans="1:10">
      <c r="A28" s="10" t="s">
        <v>65</v>
      </c>
      <c r="B28" s="10">
        <v>500</v>
      </c>
      <c r="C28" s="26"/>
      <c r="D28" s="1"/>
      <c r="E28" s="1"/>
      <c r="F28" s="1"/>
      <c r="G28" s="1"/>
      <c r="H28" s="1"/>
      <c r="I28" s="1"/>
      <c r="J28" s="1"/>
    </row>
    <row r="29" spans="1:10">
      <c r="A29" s="1" t="s">
        <v>69</v>
      </c>
      <c r="B29" s="1"/>
      <c r="C29" s="18"/>
      <c r="D29" s="1"/>
      <c r="E29" s="1"/>
      <c r="F29" s="1"/>
      <c r="G29" s="1"/>
      <c r="H29" s="1"/>
      <c r="I29" s="1"/>
      <c r="J29" s="1"/>
    </row>
    <row r="30" spans="1:10">
      <c r="A30" s="10" t="s">
        <v>24</v>
      </c>
      <c r="B30" s="10">
        <v>500</v>
      </c>
      <c r="C30" s="26"/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SUM(B26:B30)</f>
        <v>8000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EFC23-86AE-489C-89BE-5629147B9C85}">
  <dimension ref="A2:L39"/>
  <sheetViews>
    <sheetView zoomScale="130" zoomScaleNormal="130" workbookViewId="0">
      <selection activeCell="L25" sqref="L25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32725+18150</f>
        <v>50875</v>
      </c>
      <c r="B6" s="13">
        <f>Tabela11014182226303438424650545862667074788286909498102106110114118122126134138142146150[ENTRADA]*3/100</f>
        <v>1526.25</v>
      </c>
      <c r="C6" s="13">
        <f>Tabela11014182226303438424650545862667074788286909498102106110114118122126134138142146150[ENTRADA]*10/100</f>
        <v>5087.5</v>
      </c>
      <c r="D6" s="11">
        <f>Tabela11014182226303438424650545862667074788286909498102106110114118122126134138142146150[ENTRADA]-(Tabela11014182226303438424650545862667074788286909498102106110114118122126134138142146150[INSS 3%]+Tabela11014182226303438424650545862667074788286909498102106110114118122126134138142146150[DIZIMO 10%])</f>
        <v>44261.25</v>
      </c>
      <c r="E6" s="8">
        <f>Tabela11014182226303438424650545862667074788286909498102106110114118122126134138142146150[Renda 87%]-(B14+B26+B33)</f>
        <v>1211.25</v>
      </c>
      <c r="F6" s="11"/>
      <c r="G6" s="11"/>
      <c r="H6" s="11"/>
      <c r="I6" s="7">
        <f>B14+B26+B33</f>
        <v>43050</v>
      </c>
      <c r="J6" s="9">
        <f>Tabela11014182226303438424650545862667074788286909498102106110114118122126134138142146150[Sando Final]+I6</f>
        <v>44261.25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120</v>
      </c>
      <c r="B9" s="4">
        <v>3000</v>
      </c>
      <c r="C9" s="18" t="s">
        <v>80</v>
      </c>
      <c r="D9" s="1"/>
      <c r="E9" s="1"/>
      <c r="F9" s="1"/>
      <c r="G9" s="1"/>
      <c r="H9" s="1"/>
      <c r="I9" s="1"/>
      <c r="J9" s="1"/>
      <c r="L9" s="19"/>
    </row>
    <row r="10" spans="1:12">
      <c r="A10" s="4" t="s">
        <v>123</v>
      </c>
      <c r="B10" s="4">
        <v>5000</v>
      </c>
      <c r="C10" s="18" t="s">
        <v>80</v>
      </c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97</v>
      </c>
      <c r="B11" s="4">
        <v>2100</v>
      </c>
      <c r="C11" s="18" t="s">
        <v>80</v>
      </c>
      <c r="D11" s="1"/>
      <c r="E11" s="1"/>
      <c r="F11" s="1"/>
      <c r="G11" s="1"/>
      <c r="H11" s="1"/>
      <c r="I11" s="1"/>
      <c r="J11" s="1"/>
      <c r="L11" s="19"/>
    </row>
    <row r="12" spans="1:12">
      <c r="A12" s="4" t="s">
        <v>124</v>
      </c>
      <c r="B12" s="4">
        <v>1000</v>
      </c>
      <c r="C12" s="18" t="s">
        <v>80</v>
      </c>
      <c r="D12" s="1"/>
      <c r="E12" s="1"/>
      <c r="F12" s="1"/>
      <c r="G12" s="1"/>
      <c r="H12" s="1"/>
      <c r="I12" s="1"/>
      <c r="J12" s="1"/>
      <c r="L12" s="19"/>
    </row>
    <row r="13" spans="1:12">
      <c r="A13" s="4" t="s">
        <v>125</v>
      </c>
      <c r="B13" s="4">
        <v>3500</v>
      </c>
      <c r="C13" s="18" t="s">
        <v>80</v>
      </c>
      <c r="D13" s="1"/>
      <c r="E13" s="1"/>
      <c r="F13" s="1"/>
      <c r="G13" s="1"/>
      <c r="H13" s="1"/>
      <c r="I13" s="1"/>
      <c r="J13" s="1"/>
      <c r="L13" s="19"/>
    </row>
    <row r="14" spans="1:12">
      <c r="A14" s="2" t="s">
        <v>14</v>
      </c>
      <c r="B14" s="2">
        <f>SUM(B9:B13)</f>
        <v>14600</v>
      </c>
      <c r="C14" s="18"/>
      <c r="D14" s="1"/>
      <c r="E14" s="1"/>
      <c r="F14" s="1"/>
      <c r="G14" s="1"/>
      <c r="H14" s="1"/>
      <c r="I14" s="1"/>
      <c r="J14" s="1"/>
      <c r="L14" s="19"/>
    </row>
    <row r="15" spans="1:12">
      <c r="A15" s="1"/>
      <c r="B15" s="20"/>
      <c r="C15" s="1"/>
      <c r="D15" s="1"/>
      <c r="E15" s="1"/>
      <c r="F15" s="1"/>
      <c r="G15" s="1"/>
      <c r="H15" s="1"/>
      <c r="I15" s="1"/>
      <c r="J15" s="1"/>
    </row>
    <row r="16" spans="1:12">
      <c r="A16" s="4" t="s">
        <v>15</v>
      </c>
      <c r="B16" s="4" t="s">
        <v>10</v>
      </c>
      <c r="C16" s="27" t="s">
        <v>92</v>
      </c>
      <c r="D16" s="1"/>
      <c r="E16" s="1"/>
      <c r="F16" s="1"/>
      <c r="G16" s="1"/>
      <c r="H16" s="1"/>
      <c r="I16" s="1"/>
      <c r="J16" s="1"/>
    </row>
    <row r="17" spans="1:10">
      <c r="A17" s="10" t="s">
        <v>16</v>
      </c>
      <c r="B17" s="10">
        <v>6000</v>
      </c>
      <c r="C17" s="18"/>
      <c r="D17" s="1"/>
      <c r="E17" s="1"/>
      <c r="F17" s="1"/>
      <c r="G17" s="1"/>
      <c r="H17" s="1"/>
      <c r="I17" s="1"/>
      <c r="J17" s="1"/>
    </row>
    <row r="18" spans="1:10">
      <c r="A18" s="23" t="s">
        <v>17</v>
      </c>
      <c r="B18" s="23">
        <v>600</v>
      </c>
      <c r="C18" s="18"/>
      <c r="D18" s="1"/>
      <c r="E18" s="1"/>
      <c r="F18" s="1"/>
      <c r="G18" s="1"/>
      <c r="H18" s="1"/>
      <c r="I18" s="1"/>
      <c r="J18" s="1"/>
    </row>
    <row r="19" spans="1:10">
      <c r="A19" s="23" t="s">
        <v>41</v>
      </c>
      <c r="B19" s="23">
        <v>1180</v>
      </c>
      <c r="C19" s="18"/>
      <c r="D19" s="1"/>
      <c r="E19" s="1"/>
      <c r="F19" s="1"/>
      <c r="G19" s="1"/>
      <c r="H19" s="1"/>
      <c r="I19" s="1"/>
      <c r="J19" s="1"/>
    </row>
    <row r="20" spans="1:10">
      <c r="A20" s="1" t="s">
        <v>122</v>
      </c>
      <c r="B20" s="1">
        <v>4000</v>
      </c>
      <c r="C20" s="18"/>
      <c r="D20" s="1"/>
      <c r="E20" s="1"/>
      <c r="F20" s="1"/>
      <c r="G20" s="1"/>
      <c r="H20" s="1"/>
      <c r="I20" s="1"/>
      <c r="J20" s="1"/>
    </row>
    <row r="21" spans="1:10">
      <c r="A21" s="23" t="s">
        <v>19</v>
      </c>
      <c r="B21" s="23">
        <v>500</v>
      </c>
      <c r="C21" s="18"/>
      <c r="D21" s="1"/>
      <c r="E21" s="1"/>
      <c r="F21" s="1"/>
      <c r="G21" s="1"/>
      <c r="H21" s="1"/>
      <c r="I21" s="1"/>
      <c r="J21" s="1"/>
    </row>
    <row r="22" spans="1:10">
      <c r="A22" s="1" t="s">
        <v>119</v>
      </c>
      <c r="B22" s="1">
        <v>1600</v>
      </c>
      <c r="C22" s="18" t="s">
        <v>80</v>
      </c>
      <c r="D22" s="1"/>
      <c r="E22" s="1"/>
      <c r="F22" s="1"/>
      <c r="G22" s="1"/>
      <c r="H22" s="1"/>
      <c r="I22" s="1"/>
      <c r="J22" s="1"/>
    </row>
    <row r="23" spans="1:10">
      <c r="A23" s="10" t="s">
        <v>20</v>
      </c>
      <c r="B23" s="10">
        <v>750</v>
      </c>
      <c r="C23" s="18" t="s">
        <v>80</v>
      </c>
      <c r="D23" s="1"/>
      <c r="E23" s="1"/>
      <c r="F23" s="1"/>
      <c r="G23" s="1"/>
      <c r="H23" s="1"/>
      <c r="I23" s="1"/>
      <c r="J23" s="1"/>
    </row>
    <row r="24" spans="1:10">
      <c r="A24" s="23" t="s">
        <v>63</v>
      </c>
      <c r="B24" s="23">
        <v>1500</v>
      </c>
      <c r="C24" s="18"/>
      <c r="D24" s="1"/>
      <c r="E24" s="1"/>
      <c r="F24" s="1"/>
      <c r="G24" s="1"/>
      <c r="H24" s="1"/>
      <c r="I24" s="1"/>
      <c r="J24" s="1"/>
    </row>
    <row r="25" spans="1:10">
      <c r="A25" s="23" t="s">
        <v>64</v>
      </c>
      <c r="B25" s="23">
        <v>4320</v>
      </c>
      <c r="C25" s="18" t="s">
        <v>126</v>
      </c>
      <c r="D25" s="1"/>
      <c r="E25" s="1"/>
      <c r="F25" s="1"/>
      <c r="G25" s="1"/>
      <c r="H25" s="1"/>
      <c r="I25" s="1"/>
      <c r="J25" s="1"/>
    </row>
    <row r="26" spans="1:10">
      <c r="A26" s="2" t="s">
        <v>14</v>
      </c>
      <c r="B26" s="2">
        <f>SUM(B17:B25)</f>
        <v>20450</v>
      </c>
      <c r="C26" s="18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5" t="s">
        <v>22</v>
      </c>
      <c r="B28" s="6" t="s">
        <v>10</v>
      </c>
      <c r="C28" s="4" t="s">
        <v>101</v>
      </c>
      <c r="D28" s="1"/>
      <c r="E28" s="1"/>
      <c r="F28" s="1"/>
      <c r="G28" s="1"/>
      <c r="H28" s="1"/>
      <c r="I28" s="1"/>
      <c r="J28" s="1"/>
    </row>
    <row r="29" spans="1:10">
      <c r="A29" s="10" t="s">
        <v>26</v>
      </c>
      <c r="B29" s="10">
        <v>6000</v>
      </c>
      <c r="C29" s="26"/>
      <c r="D29" s="1"/>
      <c r="E29" s="1"/>
      <c r="F29" s="1"/>
      <c r="G29" s="1"/>
      <c r="H29" s="1"/>
      <c r="I29" s="1"/>
      <c r="J29" s="1"/>
    </row>
    <row r="30" spans="1:10">
      <c r="A30" s="10" t="s">
        <v>27</v>
      </c>
      <c r="B30" s="10">
        <v>1000</v>
      </c>
      <c r="C30" s="26" t="s">
        <v>80</v>
      </c>
      <c r="D30" s="1"/>
      <c r="E30" s="1"/>
      <c r="F30" s="1"/>
      <c r="G30" s="1"/>
      <c r="H30" s="1"/>
      <c r="I30" s="1"/>
      <c r="J30" s="1"/>
    </row>
    <row r="31" spans="1:10">
      <c r="A31" s="10" t="s">
        <v>65</v>
      </c>
      <c r="B31" s="10">
        <v>500</v>
      </c>
      <c r="C31" s="26"/>
      <c r="D31" s="1"/>
      <c r="E31" s="1"/>
      <c r="F31" s="1"/>
      <c r="G31" s="1"/>
      <c r="H31" s="1"/>
      <c r="I31" s="1"/>
      <c r="J31" s="1"/>
    </row>
    <row r="32" spans="1:10">
      <c r="A32" s="10" t="s">
        <v>24</v>
      </c>
      <c r="B32" s="10">
        <v>500</v>
      </c>
      <c r="C32" s="26"/>
      <c r="D32" s="1"/>
      <c r="E32" s="1"/>
      <c r="F32" s="1"/>
      <c r="G32" s="1"/>
      <c r="H32" s="1"/>
      <c r="I32" s="1"/>
      <c r="J32" s="1"/>
    </row>
    <row r="33" spans="1:10">
      <c r="A33" s="2" t="s">
        <v>14</v>
      </c>
      <c r="B33" s="2">
        <f>SUM(B29:B32)</f>
        <v>8000</v>
      </c>
      <c r="C33" s="18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EEC1-8126-704F-8CB5-E51D907B9A77}">
  <dimension ref="A2:L39"/>
  <sheetViews>
    <sheetView topLeftCell="A5" zoomScale="130" zoomScaleNormal="130" workbookViewId="0">
      <selection activeCell="C30" sqref="C30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34361.25+19057.5</f>
        <v>53418.75</v>
      </c>
      <c r="B6" s="13">
        <f>Tabela11014182226303438424650545862667074788286909498102106110114118122126134138142146150154[ENTRADA]*3/100</f>
        <v>1602.5625</v>
      </c>
      <c r="C6" s="13">
        <f>Tabela11014182226303438424650545862667074788286909498102106110114118122126134138142146150154[ENTRADA]*10/100</f>
        <v>5341.875</v>
      </c>
      <c r="D6" s="11">
        <f>Tabela11014182226303438424650545862667074788286909498102106110114118122126134138142146150154[ENTRADA]-(Tabela11014182226303438424650545862667074788286909498102106110114118122126134138142146150154[INSS 3%]+Tabela11014182226303438424650545862667074788286909498102106110114118122126134138142146150154[DIZIMO 10%])</f>
        <v>46474.3125</v>
      </c>
      <c r="E6" s="8">
        <f>Tabela11014182226303438424650545862667074788286909498102106110114118122126134138142146150154[Renda 87%]-(B14+B25+B33)</f>
        <v>-955.6875</v>
      </c>
      <c r="F6" s="11"/>
      <c r="G6" s="11"/>
      <c r="H6" s="11"/>
      <c r="I6" s="7">
        <f>B14+B25+B33</f>
        <v>47430</v>
      </c>
      <c r="J6" s="9">
        <f>Tabela11014182226303438424650545862667074788286909498102106110114118122126134138142146150154[Sando Final]+I6</f>
        <v>46474.3125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120</v>
      </c>
      <c r="B9" s="4">
        <v>1000</v>
      </c>
      <c r="C9" s="18" t="s">
        <v>80</v>
      </c>
      <c r="D9" s="1"/>
      <c r="E9" s="1"/>
      <c r="F9" s="1"/>
      <c r="G9" s="1"/>
      <c r="H9" s="1"/>
      <c r="I9" s="1"/>
      <c r="J9" s="1"/>
      <c r="L9" s="19"/>
    </row>
    <row r="10" spans="1:12">
      <c r="A10" s="4" t="s">
        <v>123</v>
      </c>
      <c r="B10" s="4">
        <v>7000</v>
      </c>
      <c r="C10" s="18" t="s">
        <v>80</v>
      </c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117</v>
      </c>
      <c r="B11" s="4">
        <v>600</v>
      </c>
      <c r="C11" s="18" t="s">
        <v>80</v>
      </c>
      <c r="D11" s="1"/>
      <c r="E11" s="1"/>
      <c r="F11" s="1"/>
      <c r="G11" s="1"/>
      <c r="H11" s="1"/>
      <c r="I11" s="1"/>
      <c r="J11" s="1"/>
      <c r="L11" s="19"/>
    </row>
    <row r="12" spans="1:12">
      <c r="A12" s="4" t="s">
        <v>124</v>
      </c>
      <c r="B12" s="4">
        <v>1000</v>
      </c>
      <c r="C12" s="18" t="s">
        <v>80</v>
      </c>
      <c r="D12" s="1"/>
      <c r="E12" s="1"/>
      <c r="F12" s="1"/>
      <c r="G12" s="1"/>
      <c r="H12" s="1"/>
      <c r="I12" s="1"/>
      <c r="J12" s="1"/>
      <c r="L12" s="19"/>
    </row>
    <row r="13" spans="1:12">
      <c r="A13" s="4" t="s">
        <v>95</v>
      </c>
      <c r="B13" s="4">
        <v>10000</v>
      </c>
      <c r="C13" s="18" t="s">
        <v>80</v>
      </c>
      <c r="D13" s="1"/>
      <c r="E13" s="1"/>
      <c r="F13" s="1"/>
      <c r="G13" s="1"/>
      <c r="H13" s="1"/>
      <c r="I13" s="1"/>
      <c r="J13" s="1"/>
      <c r="L13" s="19"/>
    </row>
    <row r="14" spans="1:12">
      <c r="A14" s="2" t="s">
        <v>14</v>
      </c>
      <c r="B14" s="2">
        <f>SUM(B9:B13)</f>
        <v>19600</v>
      </c>
      <c r="C14" s="18"/>
      <c r="D14" s="1"/>
      <c r="E14" s="1"/>
      <c r="F14" s="1"/>
      <c r="G14" s="1"/>
      <c r="H14" s="1"/>
      <c r="I14" s="1"/>
      <c r="J14" s="1"/>
      <c r="L14" s="19"/>
    </row>
    <row r="15" spans="1:12">
      <c r="A15" s="1"/>
      <c r="B15" s="20"/>
      <c r="C15" s="1"/>
      <c r="D15" s="1"/>
      <c r="E15" s="1"/>
      <c r="F15" s="1"/>
      <c r="G15" s="1"/>
      <c r="H15" s="1"/>
      <c r="I15" s="1"/>
      <c r="J15" s="1"/>
    </row>
    <row r="16" spans="1:12">
      <c r="A16" s="4" t="s">
        <v>15</v>
      </c>
      <c r="B16" s="4" t="s">
        <v>10</v>
      </c>
      <c r="C16" s="27" t="s">
        <v>92</v>
      </c>
      <c r="D16" s="1"/>
      <c r="E16" s="1"/>
      <c r="F16" s="1"/>
      <c r="G16" s="1"/>
      <c r="H16" s="1"/>
      <c r="I16" s="1"/>
      <c r="J16" s="1"/>
    </row>
    <row r="17" spans="1:10">
      <c r="A17" s="10" t="s">
        <v>16</v>
      </c>
      <c r="B17" s="10">
        <v>6000</v>
      </c>
      <c r="C17" s="18"/>
      <c r="D17" s="1"/>
      <c r="E17" s="1"/>
      <c r="F17" s="1"/>
      <c r="G17" s="1"/>
      <c r="H17" s="1"/>
      <c r="I17" s="1"/>
      <c r="J17" s="1"/>
    </row>
    <row r="18" spans="1:10">
      <c r="A18" s="23" t="s">
        <v>17</v>
      </c>
      <c r="B18" s="23">
        <v>600</v>
      </c>
      <c r="C18" s="18"/>
      <c r="D18" s="1"/>
      <c r="E18" s="1"/>
      <c r="F18" s="1"/>
      <c r="G18" s="1"/>
      <c r="H18" s="1"/>
      <c r="I18" s="1"/>
      <c r="J18" s="1"/>
    </row>
    <row r="19" spans="1:10">
      <c r="A19" s="23" t="s">
        <v>41</v>
      </c>
      <c r="B19" s="23">
        <v>1180</v>
      </c>
      <c r="C19" s="18"/>
      <c r="D19" s="1"/>
      <c r="E19" s="1"/>
      <c r="F19" s="1"/>
      <c r="G19" s="1"/>
      <c r="H19" s="1"/>
      <c r="I19" s="1"/>
      <c r="J19" s="1"/>
    </row>
    <row r="20" spans="1:10">
      <c r="A20" s="23" t="s">
        <v>19</v>
      </c>
      <c r="B20" s="23">
        <v>500</v>
      </c>
      <c r="C20" s="18"/>
      <c r="D20" s="1"/>
      <c r="E20" s="1"/>
      <c r="F20" s="1"/>
      <c r="G20" s="1"/>
      <c r="H20" s="1"/>
      <c r="I20" s="1"/>
      <c r="J20" s="1"/>
    </row>
    <row r="21" spans="1:10">
      <c r="A21" s="1" t="s">
        <v>119</v>
      </c>
      <c r="B21" s="1">
        <v>1600</v>
      </c>
      <c r="C21" s="18" t="s">
        <v>80</v>
      </c>
      <c r="D21" s="1"/>
      <c r="E21" s="1"/>
      <c r="F21" s="1"/>
      <c r="G21" s="1"/>
      <c r="H21" s="1"/>
      <c r="I21" s="1"/>
      <c r="J21" s="1"/>
    </row>
    <row r="22" spans="1:10">
      <c r="A22" s="10" t="s">
        <v>20</v>
      </c>
      <c r="B22" s="10">
        <v>750</v>
      </c>
      <c r="C22" s="18" t="s">
        <v>80</v>
      </c>
      <c r="D22" s="1"/>
      <c r="E22" s="1"/>
      <c r="F22" s="1"/>
      <c r="G22" s="1"/>
      <c r="H22" s="1"/>
      <c r="I22" s="1"/>
      <c r="J22" s="1"/>
    </row>
    <row r="23" spans="1:10">
      <c r="A23" s="23" t="s">
        <v>63</v>
      </c>
      <c r="B23" s="23">
        <v>1500</v>
      </c>
      <c r="C23" s="18"/>
      <c r="D23" s="1"/>
      <c r="E23" s="1"/>
      <c r="F23" s="1"/>
      <c r="G23" s="1"/>
      <c r="H23" s="1"/>
      <c r="I23" s="1"/>
      <c r="J23" s="1"/>
    </row>
    <row r="24" spans="1:10">
      <c r="A24" s="23" t="s">
        <v>64</v>
      </c>
      <c r="B24" s="23">
        <v>3700</v>
      </c>
      <c r="C24" s="18" t="s">
        <v>126</v>
      </c>
      <c r="D24" s="1"/>
      <c r="E24" s="1"/>
      <c r="F24" s="1"/>
      <c r="G24" s="1"/>
      <c r="H24" s="1"/>
      <c r="I24" s="1"/>
      <c r="J24" s="1"/>
    </row>
    <row r="25" spans="1:10">
      <c r="A25" s="2" t="s">
        <v>14</v>
      </c>
      <c r="B25" s="2">
        <f>SUM(B17:B24)</f>
        <v>15830</v>
      </c>
      <c r="C25" s="18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5" t="s">
        <v>22</v>
      </c>
      <c r="B27" s="6" t="s">
        <v>10</v>
      </c>
      <c r="C27" s="4" t="s">
        <v>101</v>
      </c>
      <c r="D27" s="1"/>
      <c r="E27" s="1"/>
      <c r="F27" s="1"/>
      <c r="G27" s="1"/>
      <c r="H27" s="1"/>
      <c r="I27" s="1"/>
      <c r="J27" s="1"/>
    </row>
    <row r="28" spans="1:10">
      <c r="A28" s="10" t="s">
        <v>26</v>
      </c>
      <c r="B28" s="10">
        <v>6000</v>
      </c>
      <c r="C28" s="26"/>
      <c r="D28" s="1"/>
      <c r="E28" s="1"/>
      <c r="F28" s="1"/>
      <c r="G28" s="1"/>
      <c r="H28" s="1"/>
      <c r="I28" s="1"/>
      <c r="J28" s="1"/>
    </row>
    <row r="29" spans="1:10">
      <c r="A29" s="10" t="s">
        <v>27</v>
      </c>
      <c r="B29" s="10">
        <v>1000</v>
      </c>
      <c r="C29" s="26" t="s">
        <v>80</v>
      </c>
      <c r="D29" s="1"/>
      <c r="E29" s="1"/>
      <c r="F29" s="1"/>
      <c r="G29" s="1"/>
      <c r="H29" s="1"/>
      <c r="I29" s="1"/>
      <c r="J29" s="1"/>
    </row>
    <row r="30" spans="1:10">
      <c r="A30" s="1" t="s">
        <v>127</v>
      </c>
      <c r="B30" s="1">
        <v>4000</v>
      </c>
      <c r="C30" s="18"/>
      <c r="D30" s="1"/>
      <c r="E30" s="1"/>
      <c r="F30" s="1"/>
      <c r="G30" s="1"/>
      <c r="H30" s="1"/>
      <c r="I30" s="1"/>
      <c r="J30" s="1"/>
    </row>
    <row r="31" spans="1:10">
      <c r="A31" s="10" t="s">
        <v>65</v>
      </c>
      <c r="B31" s="10">
        <v>500</v>
      </c>
      <c r="C31" s="26"/>
      <c r="D31" s="1"/>
      <c r="E31" s="1"/>
      <c r="F31" s="1"/>
      <c r="G31" s="1"/>
      <c r="H31" s="1"/>
      <c r="I31" s="1"/>
      <c r="J31" s="1"/>
    </row>
    <row r="32" spans="1:10">
      <c r="A32" s="10" t="s">
        <v>24</v>
      </c>
      <c r="B32" s="10">
        <v>500</v>
      </c>
      <c r="C32" s="26"/>
      <c r="D32" s="1"/>
      <c r="E32" s="1"/>
      <c r="F32" s="1"/>
      <c r="G32" s="1"/>
      <c r="H32" s="1"/>
      <c r="I32" s="1"/>
      <c r="J32" s="1"/>
    </row>
    <row r="33" spans="1:10">
      <c r="A33" s="2" t="s">
        <v>14</v>
      </c>
      <c r="B33" s="2">
        <f>SUM(B28:B32)</f>
        <v>12000</v>
      </c>
      <c r="C33" s="18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2A7A6-79D0-471F-A520-3A2DCC293DFE}">
  <dimension ref="A2:L40"/>
  <sheetViews>
    <sheetView zoomScale="130" zoomScaleNormal="130" workbookViewId="0"/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34361.25+19057.5</f>
        <v>53418.75</v>
      </c>
      <c r="B6" s="13">
        <f>Tabela11014182226303438424650545862667074788286909498102106110114118122126134138142146150154158166[ENTRADA]*3/100</f>
        <v>1602.5625</v>
      </c>
      <c r="C6" s="13">
        <f>Tabela11014182226303438424650545862667074788286909498102106110114118122126134138142146150154158166[ENTRADA]*10/100</f>
        <v>5341.875</v>
      </c>
      <c r="D6" s="11">
        <f>Tabela11014182226303438424650545862667074788286909498102106110114118122126134138142146150154158166[ENTRADA]-(Tabela11014182226303438424650545862667074788286909498102106110114118122126134138142146150154158166[INSS 3%]+Tabela11014182226303438424650545862667074788286909498102106110114118122126134138142146150154158166[DIZIMO 10%])</f>
        <v>46474.3125</v>
      </c>
      <c r="E6" s="8">
        <f>Tabela11014182226303438424650545862667074788286909498102106110114118122126134138142146150154158166[Renda 87%]-(B13+B24+B32)</f>
        <v>10944.3125</v>
      </c>
      <c r="F6" s="11"/>
      <c r="G6" s="11"/>
      <c r="H6" s="11"/>
      <c r="I6" s="7">
        <f>B13+B24+B32</f>
        <v>35530</v>
      </c>
      <c r="J6" s="9">
        <f>Tabela11014182226303438424650545862667074788286909498102106110114118122126134138142146150154158166[Sando Final]+I6</f>
        <v>46474.3125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120</v>
      </c>
      <c r="B9" s="4">
        <v>1200</v>
      </c>
      <c r="C9" s="18" t="s">
        <v>80</v>
      </c>
      <c r="D9" s="1"/>
      <c r="E9" s="1"/>
      <c r="F9" s="1"/>
      <c r="G9" s="1"/>
      <c r="H9" s="1"/>
      <c r="I9" s="1"/>
      <c r="J9" s="1"/>
      <c r="L9" s="19"/>
    </row>
    <row r="10" spans="1:12">
      <c r="A10" s="4" t="s">
        <v>123</v>
      </c>
      <c r="B10" s="4">
        <v>7000</v>
      </c>
      <c r="C10" s="18" t="s">
        <v>80</v>
      </c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97</v>
      </c>
      <c r="B11" s="4">
        <v>1750</v>
      </c>
      <c r="C11" s="18" t="s">
        <v>80</v>
      </c>
      <c r="D11" s="1"/>
      <c r="E11" s="1"/>
      <c r="F11" s="1"/>
      <c r="G11" s="1"/>
      <c r="H11" s="1"/>
      <c r="I11" s="1"/>
      <c r="J11" s="1"/>
      <c r="L11" s="19"/>
    </row>
    <row r="12" spans="1:12">
      <c r="A12" s="4" t="s">
        <v>117</v>
      </c>
      <c r="B12" s="4">
        <v>600</v>
      </c>
      <c r="C12" s="18" t="s">
        <v>80</v>
      </c>
      <c r="D12" s="1"/>
      <c r="E12" s="1"/>
      <c r="F12" s="1"/>
      <c r="G12" s="1"/>
      <c r="H12" s="1"/>
      <c r="I12" s="1"/>
      <c r="J12" s="1"/>
      <c r="L12" s="19"/>
    </row>
    <row r="13" spans="1:12">
      <c r="A13" s="2" t="s">
        <v>14</v>
      </c>
      <c r="B13" s="2">
        <f>SUM(B9:B12)</f>
        <v>10550</v>
      </c>
      <c r="C13" s="18"/>
      <c r="D13" s="1"/>
      <c r="E13" s="1"/>
      <c r="F13" s="1"/>
      <c r="G13" s="1"/>
      <c r="H13" s="1"/>
      <c r="I13" s="1"/>
      <c r="J13" s="1"/>
      <c r="L13" s="19"/>
    </row>
    <row r="14" spans="1:12">
      <c r="A14" s="1"/>
      <c r="B14" s="20"/>
      <c r="C14" s="1"/>
      <c r="D14" s="1"/>
      <c r="E14" s="1"/>
      <c r="F14" s="1"/>
      <c r="G14" s="1"/>
      <c r="H14" s="1"/>
      <c r="I14" s="1"/>
      <c r="J14" s="1"/>
      <c r="L14" s="19"/>
    </row>
    <row r="15" spans="1:12">
      <c r="A15" s="4" t="s">
        <v>15</v>
      </c>
      <c r="B15" s="4" t="s">
        <v>10</v>
      </c>
      <c r="C15" s="27" t="s">
        <v>92</v>
      </c>
      <c r="D15" s="1"/>
      <c r="E15" s="1"/>
      <c r="F15" s="1"/>
      <c r="G15" s="1"/>
      <c r="H15" s="1"/>
      <c r="I15" s="1"/>
      <c r="J15" s="1"/>
      <c r="L15" s="19"/>
    </row>
    <row r="16" spans="1:12">
      <c r="A16" s="10" t="s">
        <v>16</v>
      </c>
      <c r="B16" s="10">
        <v>6000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17</v>
      </c>
      <c r="B17" s="23">
        <v>600</v>
      </c>
      <c r="C17" s="18"/>
      <c r="D17" s="1"/>
      <c r="E17" s="1"/>
      <c r="F17" s="1"/>
      <c r="G17" s="1"/>
      <c r="H17" s="1"/>
      <c r="I17" s="1"/>
      <c r="J17" s="1"/>
    </row>
    <row r="18" spans="1:10">
      <c r="A18" s="23" t="s">
        <v>41</v>
      </c>
      <c r="B18" s="23">
        <v>1180</v>
      </c>
      <c r="C18" s="18" t="s">
        <v>80</v>
      </c>
      <c r="D18" s="1"/>
      <c r="E18" s="1"/>
      <c r="F18" s="1"/>
      <c r="G18" s="1"/>
      <c r="H18" s="1"/>
      <c r="I18" s="1"/>
      <c r="J18" s="1"/>
    </row>
    <row r="19" spans="1:10">
      <c r="A19" s="23" t="s">
        <v>19</v>
      </c>
      <c r="B19" s="23">
        <v>500</v>
      </c>
      <c r="C19" s="18"/>
      <c r="D19" s="1"/>
      <c r="E19" s="1"/>
      <c r="F19" s="1"/>
      <c r="G19" s="1"/>
      <c r="H19" s="1"/>
      <c r="I19" s="1"/>
      <c r="J19" s="1"/>
    </row>
    <row r="20" spans="1:10">
      <c r="A20" s="1" t="s">
        <v>119</v>
      </c>
      <c r="B20" s="1">
        <v>1200</v>
      </c>
      <c r="C20" s="18" t="s">
        <v>80</v>
      </c>
      <c r="D20" s="1"/>
      <c r="E20" s="1"/>
      <c r="F20" s="1"/>
      <c r="G20" s="1"/>
      <c r="H20" s="1"/>
      <c r="I20" s="1"/>
      <c r="J20" s="1"/>
    </row>
    <row r="21" spans="1:10">
      <c r="A21" s="10" t="s">
        <v>20</v>
      </c>
      <c r="B21" s="10">
        <v>300</v>
      </c>
      <c r="C21" s="18" t="s">
        <v>80</v>
      </c>
      <c r="D21" s="1"/>
      <c r="E21" s="1"/>
      <c r="F21" s="1"/>
      <c r="G21" s="1"/>
      <c r="H21" s="1"/>
      <c r="I21" s="1"/>
      <c r="J21" s="1"/>
    </row>
    <row r="22" spans="1:10">
      <c r="A22" s="23" t="s">
        <v>63</v>
      </c>
      <c r="B22" s="23">
        <v>1500</v>
      </c>
      <c r="C22" s="18"/>
      <c r="D22" s="1"/>
      <c r="E22" s="1"/>
      <c r="F22" s="1"/>
      <c r="G22" s="1"/>
      <c r="H22" s="1"/>
      <c r="I22" s="1"/>
      <c r="J22" s="1"/>
    </row>
    <row r="23" spans="1:10">
      <c r="A23" s="23" t="s">
        <v>64</v>
      </c>
      <c r="B23" s="23">
        <v>3700</v>
      </c>
      <c r="C23" s="18" t="s">
        <v>126</v>
      </c>
      <c r="D23" s="1"/>
      <c r="E23" s="1"/>
      <c r="F23" s="1"/>
      <c r="G23" s="1"/>
      <c r="H23" s="1"/>
      <c r="I23" s="1"/>
      <c r="J23" s="1"/>
    </row>
    <row r="24" spans="1:10">
      <c r="A24" s="2" t="s">
        <v>14</v>
      </c>
      <c r="B24" s="2">
        <f>SUM(B16:B23)</f>
        <v>14980</v>
      </c>
      <c r="C24" s="18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5" t="s">
        <v>22</v>
      </c>
      <c r="B26" s="6" t="s">
        <v>10</v>
      </c>
      <c r="C26" s="4" t="s">
        <v>101</v>
      </c>
      <c r="D26" s="1"/>
      <c r="E26" s="1"/>
      <c r="F26" s="1"/>
      <c r="G26" s="1"/>
      <c r="H26" s="1"/>
      <c r="I26" s="1"/>
      <c r="J26" s="1"/>
    </row>
    <row r="27" spans="1:10">
      <c r="A27" s="10" t="s">
        <v>26</v>
      </c>
      <c r="B27" s="10">
        <v>6000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0">
      <c r="A28" s="10" t="s">
        <v>27</v>
      </c>
      <c r="B28" s="10">
        <v>1000</v>
      </c>
      <c r="C28" s="26" t="s">
        <v>80</v>
      </c>
      <c r="D28" s="1"/>
      <c r="E28" s="1"/>
      <c r="F28" s="1"/>
      <c r="G28" s="1"/>
      <c r="H28" s="1"/>
      <c r="I28" s="1"/>
      <c r="J28" s="1"/>
    </row>
    <row r="29" spans="1:10">
      <c r="A29" s="1" t="s">
        <v>127</v>
      </c>
      <c r="B29" s="1">
        <v>2000</v>
      </c>
      <c r="C29" s="18" t="s">
        <v>80</v>
      </c>
      <c r="D29" s="1"/>
      <c r="E29" s="1"/>
      <c r="F29" s="1"/>
      <c r="G29" s="1"/>
      <c r="H29" s="1"/>
      <c r="I29" s="1"/>
      <c r="J29" s="1"/>
    </row>
    <row r="30" spans="1:10">
      <c r="A30" s="10" t="s">
        <v>65</v>
      </c>
      <c r="B30" s="10">
        <v>500</v>
      </c>
      <c r="C30" s="26" t="s">
        <v>80</v>
      </c>
      <c r="D30" s="1"/>
      <c r="E30" s="1"/>
      <c r="F30" s="1"/>
      <c r="G30" s="1"/>
      <c r="H30" s="1"/>
      <c r="I30" s="1"/>
      <c r="J30" s="1"/>
    </row>
    <row r="31" spans="1:10">
      <c r="A31" s="10" t="s">
        <v>24</v>
      </c>
      <c r="B31" s="10">
        <v>500</v>
      </c>
      <c r="C31" s="26" t="s">
        <v>80</v>
      </c>
      <c r="D31" s="1"/>
      <c r="E31" s="1"/>
      <c r="F31" s="1"/>
      <c r="G31" s="1"/>
      <c r="H31" s="1"/>
      <c r="I31" s="1"/>
      <c r="J31" s="1"/>
    </row>
    <row r="32" spans="1:10">
      <c r="A32" s="2" t="s">
        <v>14</v>
      </c>
      <c r="B32" s="2">
        <f>SUM(B27:B31)</f>
        <v>10000</v>
      </c>
      <c r="C32" s="18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D39" s="1"/>
      <c r="E39" s="1"/>
      <c r="F39" s="1"/>
      <c r="G39" s="1"/>
      <c r="H39" s="1"/>
      <c r="I39" s="1"/>
      <c r="J39" s="1"/>
    </row>
    <row r="40" spans="1:10">
      <c r="D40" s="1"/>
      <c r="E40" s="1"/>
      <c r="F40" s="1"/>
      <c r="G40" s="1"/>
      <c r="H40" s="1"/>
      <c r="I40" s="1"/>
      <c r="J40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A672-8D15-4B07-A06C-273B3653D8CF}">
  <dimension ref="A2:L40"/>
  <sheetViews>
    <sheetView topLeftCell="A2" zoomScale="130" zoomScaleNormal="130" workbookViewId="0">
      <selection activeCell="C19" sqref="C19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34361.25+19057.5</f>
        <v>53418.75</v>
      </c>
      <c r="B6" s="13">
        <f>Tabela11014182226303438424650545862667074788286909498102106110114118122126134138142146150154158[ENTRADA]*3/100</f>
        <v>1602.5625</v>
      </c>
      <c r="C6" s="13">
        <f>Tabela11014182226303438424650545862667074788286909498102106110114118122126134138142146150154158[ENTRADA]*10/100</f>
        <v>5341.875</v>
      </c>
      <c r="D6" s="11">
        <f>Tabela11014182226303438424650545862667074788286909498102106110114118122126134138142146150154158[ENTRADA]-(Tabela11014182226303438424650545862667074788286909498102106110114118122126134138142146150154158[INSS 3%]+Tabela11014182226303438424650545862667074788286909498102106110114118122126134138142146150154158[DIZIMO 10%])</f>
        <v>46474.3125</v>
      </c>
      <c r="E6" s="8">
        <f>Tabela11014182226303438424650545862667074788286909498102106110114118122126134138142146150154158[Renda 87%]-(B13+B24+B32)</f>
        <v>10944.3125</v>
      </c>
      <c r="F6" s="11"/>
      <c r="G6" s="11"/>
      <c r="H6" s="11"/>
      <c r="I6" s="7">
        <f>B13+B24+B32</f>
        <v>35530</v>
      </c>
      <c r="J6" s="9">
        <f>Tabela11014182226303438424650545862667074788286909498102106110114118122126134138142146150154158[Sando Final]+I6</f>
        <v>46474.3125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120</v>
      </c>
      <c r="B9" s="4">
        <v>1200</v>
      </c>
      <c r="C9" s="18" t="s">
        <v>80</v>
      </c>
      <c r="D9" s="1"/>
      <c r="E9" s="1"/>
      <c r="F9" s="1"/>
      <c r="G9" s="1"/>
      <c r="H9" s="1"/>
      <c r="I9" s="1"/>
      <c r="J9" s="1"/>
      <c r="L9" s="19"/>
    </row>
    <row r="10" spans="1:12">
      <c r="A10" s="4" t="s">
        <v>123</v>
      </c>
      <c r="B10" s="4">
        <v>7000</v>
      </c>
      <c r="C10" s="18" t="s">
        <v>80</v>
      </c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97</v>
      </c>
      <c r="B11" s="4">
        <v>1750</v>
      </c>
      <c r="C11" s="18" t="s">
        <v>80</v>
      </c>
      <c r="D11" s="1"/>
      <c r="E11" s="1"/>
      <c r="F11" s="1"/>
      <c r="G11" s="1"/>
      <c r="H11" s="1"/>
      <c r="I11" s="1"/>
      <c r="J11" s="1"/>
      <c r="L11" s="19"/>
    </row>
    <row r="12" spans="1:12">
      <c r="A12" s="4" t="s">
        <v>117</v>
      </c>
      <c r="B12" s="4">
        <v>600</v>
      </c>
      <c r="C12" s="18" t="s">
        <v>80</v>
      </c>
      <c r="D12" s="1"/>
      <c r="E12" s="1"/>
      <c r="F12" s="1"/>
      <c r="G12" s="1"/>
      <c r="H12" s="1"/>
      <c r="I12" s="1"/>
      <c r="J12" s="1"/>
      <c r="L12" s="19"/>
    </row>
    <row r="13" spans="1:12">
      <c r="A13" s="2" t="s">
        <v>14</v>
      </c>
      <c r="B13" s="2">
        <f>SUM(B9:B12)</f>
        <v>10550</v>
      </c>
      <c r="C13" s="18"/>
      <c r="D13" s="1"/>
      <c r="E13" s="1"/>
      <c r="F13" s="1"/>
      <c r="G13" s="1"/>
      <c r="H13" s="1"/>
      <c r="I13" s="1"/>
      <c r="J13" s="1"/>
      <c r="L13" s="19"/>
    </row>
    <row r="14" spans="1:12">
      <c r="A14" s="1"/>
      <c r="B14" s="20"/>
      <c r="C14" s="1"/>
      <c r="D14" s="1"/>
      <c r="E14" s="1"/>
      <c r="F14" s="1"/>
      <c r="G14" s="1"/>
      <c r="H14" s="1"/>
      <c r="I14" s="1"/>
      <c r="J14" s="1"/>
      <c r="L14" s="19"/>
    </row>
    <row r="15" spans="1:12">
      <c r="A15" s="4" t="s">
        <v>15</v>
      </c>
      <c r="B15" s="4" t="s">
        <v>10</v>
      </c>
      <c r="C15" s="27" t="s">
        <v>92</v>
      </c>
      <c r="D15" s="1"/>
      <c r="E15" s="1"/>
      <c r="F15" s="1"/>
      <c r="G15" s="1"/>
      <c r="H15" s="1"/>
      <c r="I15" s="1"/>
      <c r="J15" s="1"/>
      <c r="L15" s="19"/>
    </row>
    <row r="16" spans="1:12">
      <c r="A16" s="10" t="s">
        <v>16</v>
      </c>
      <c r="B16" s="10">
        <v>6000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17</v>
      </c>
      <c r="B17" s="23">
        <v>600</v>
      </c>
      <c r="C17" s="18"/>
      <c r="D17" s="1"/>
      <c r="E17" s="1"/>
      <c r="F17" s="1"/>
      <c r="G17" s="1"/>
      <c r="H17" s="1"/>
      <c r="I17" s="1"/>
      <c r="J17" s="1"/>
    </row>
    <row r="18" spans="1:10">
      <c r="A18" s="23" t="s">
        <v>41</v>
      </c>
      <c r="B18" s="23">
        <v>1180</v>
      </c>
      <c r="C18" s="18" t="s">
        <v>80</v>
      </c>
      <c r="D18" s="1"/>
      <c r="E18" s="1"/>
      <c r="F18" s="1"/>
      <c r="G18" s="1"/>
      <c r="H18" s="1"/>
      <c r="I18" s="1"/>
      <c r="J18" s="1"/>
    </row>
    <row r="19" spans="1:10">
      <c r="A19" s="23" t="s">
        <v>19</v>
      </c>
      <c r="B19" s="23">
        <v>500</v>
      </c>
      <c r="C19" s="18"/>
      <c r="D19" s="1"/>
      <c r="E19" s="1"/>
      <c r="F19" s="1"/>
      <c r="G19" s="1"/>
      <c r="H19" s="1"/>
      <c r="I19" s="1"/>
      <c r="J19" s="1"/>
    </row>
    <row r="20" spans="1:10">
      <c r="A20" s="1" t="s">
        <v>119</v>
      </c>
      <c r="B20" s="1">
        <v>1200</v>
      </c>
      <c r="C20" s="18" t="s">
        <v>80</v>
      </c>
      <c r="D20" s="1"/>
      <c r="E20" s="1"/>
      <c r="F20" s="1"/>
      <c r="G20" s="1"/>
      <c r="H20" s="1"/>
      <c r="I20" s="1"/>
      <c r="J20" s="1"/>
    </row>
    <row r="21" spans="1:10">
      <c r="A21" s="10" t="s">
        <v>20</v>
      </c>
      <c r="B21" s="10">
        <v>300</v>
      </c>
      <c r="C21" s="18" t="s">
        <v>80</v>
      </c>
      <c r="D21" s="1"/>
      <c r="E21" s="1"/>
      <c r="F21" s="1"/>
      <c r="G21" s="1"/>
      <c r="H21" s="1"/>
      <c r="I21" s="1"/>
      <c r="J21" s="1"/>
    </row>
    <row r="22" spans="1:10">
      <c r="A22" s="23" t="s">
        <v>63</v>
      </c>
      <c r="B22" s="23">
        <v>1500</v>
      </c>
      <c r="C22" s="18"/>
      <c r="D22" s="1"/>
      <c r="E22" s="1"/>
      <c r="F22" s="1"/>
      <c r="G22" s="1"/>
      <c r="H22" s="1"/>
      <c r="I22" s="1"/>
      <c r="J22" s="1"/>
    </row>
    <row r="23" spans="1:10">
      <c r="A23" s="23" t="s">
        <v>64</v>
      </c>
      <c r="B23" s="23">
        <v>3700</v>
      </c>
      <c r="C23" s="18" t="s">
        <v>126</v>
      </c>
      <c r="D23" s="1"/>
      <c r="E23" s="1"/>
      <c r="F23" s="1"/>
      <c r="G23" s="1"/>
      <c r="H23" s="1"/>
      <c r="I23" s="1"/>
      <c r="J23" s="1"/>
    </row>
    <row r="24" spans="1:10">
      <c r="A24" s="2" t="s">
        <v>14</v>
      </c>
      <c r="B24" s="2">
        <f>SUM(B16:B23)</f>
        <v>14980</v>
      </c>
      <c r="C24" s="18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5" t="s">
        <v>22</v>
      </c>
      <c r="B26" s="6" t="s">
        <v>10</v>
      </c>
      <c r="C26" s="4" t="s">
        <v>101</v>
      </c>
      <c r="D26" s="1"/>
      <c r="E26" s="1"/>
      <c r="F26" s="1"/>
      <c r="G26" s="1"/>
      <c r="H26" s="1"/>
      <c r="I26" s="1"/>
      <c r="J26" s="1"/>
    </row>
    <row r="27" spans="1:10">
      <c r="A27" s="10" t="s">
        <v>26</v>
      </c>
      <c r="B27" s="10">
        <v>6000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0">
      <c r="A28" s="10" t="s">
        <v>27</v>
      </c>
      <c r="B28" s="10">
        <v>1000</v>
      </c>
      <c r="C28" s="26" t="s">
        <v>80</v>
      </c>
      <c r="D28" s="1"/>
      <c r="E28" s="1"/>
      <c r="F28" s="1"/>
      <c r="G28" s="1"/>
      <c r="H28" s="1"/>
      <c r="I28" s="1"/>
      <c r="J28" s="1"/>
    </row>
    <row r="29" spans="1:10">
      <c r="A29" s="1" t="s">
        <v>127</v>
      </c>
      <c r="B29" s="1">
        <v>2000</v>
      </c>
      <c r="C29" s="18" t="s">
        <v>80</v>
      </c>
      <c r="D29" s="1"/>
      <c r="E29" s="1"/>
      <c r="F29" s="1"/>
      <c r="G29" s="1"/>
      <c r="H29" s="1"/>
      <c r="I29" s="1"/>
      <c r="J29" s="1"/>
    </row>
    <row r="30" spans="1:10">
      <c r="A30" s="10" t="s">
        <v>65</v>
      </c>
      <c r="B30" s="10">
        <v>500</v>
      </c>
      <c r="C30" s="26" t="s">
        <v>80</v>
      </c>
      <c r="D30" s="1"/>
      <c r="E30" s="1"/>
      <c r="F30" s="1"/>
      <c r="G30" s="1"/>
      <c r="H30" s="1"/>
      <c r="I30" s="1"/>
      <c r="J30" s="1"/>
    </row>
    <row r="31" spans="1:10">
      <c r="A31" s="10" t="s">
        <v>24</v>
      </c>
      <c r="B31" s="10">
        <v>500</v>
      </c>
      <c r="C31" s="26" t="s">
        <v>80</v>
      </c>
      <c r="D31" s="1"/>
      <c r="E31" s="1"/>
      <c r="F31" s="1"/>
      <c r="G31" s="1"/>
      <c r="H31" s="1"/>
      <c r="I31" s="1"/>
      <c r="J31" s="1"/>
    </row>
    <row r="32" spans="1:10">
      <c r="A32" s="2" t="s">
        <v>14</v>
      </c>
      <c r="B32" s="2">
        <f>SUM(B27:B31)</f>
        <v>10000</v>
      </c>
      <c r="C32" s="18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D39" s="1"/>
      <c r="E39" s="1"/>
      <c r="F39" s="1"/>
      <c r="G39" s="1"/>
      <c r="H39" s="1"/>
      <c r="I39" s="1"/>
      <c r="J39" s="1"/>
    </row>
    <row r="40" spans="1:10">
      <c r="D40" s="1"/>
      <c r="E40" s="1"/>
      <c r="F40" s="1"/>
      <c r="G40" s="1"/>
      <c r="H40" s="1"/>
      <c r="I40" s="1"/>
      <c r="J40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933E-ADC6-9C4D-9CE6-C049D94915E2}">
  <dimension ref="A2:L39"/>
  <sheetViews>
    <sheetView topLeftCell="A11" zoomScale="130" zoomScaleNormal="130" workbookViewId="0">
      <selection activeCell="D27" sqref="D27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6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34361.25+19057.5</f>
        <v>53418.75</v>
      </c>
      <c r="B6" s="13">
        <f>Tabela11014182226303438424650545862667074788286909498102106110114118122126134138142146150154158162[ENTRADA]*3/100</f>
        <v>1602.5625</v>
      </c>
      <c r="C6" s="13">
        <f>Tabela11014182226303438424650545862667074788286909498102106110114118122126134138142146150154158162[ENTRADA]*10/100</f>
        <v>5341.875</v>
      </c>
      <c r="D6" s="11">
        <f>Tabela11014182226303438424650545862667074788286909498102106110114118122126134138142146150154158162[ENTRADA]-(Tabela11014182226303438424650545862667074788286909498102106110114118122126134138142146150154158162[INSS 3%]+Tabela11014182226303438424650545862667074788286909498102106110114118122126134138142146150154158162[DIZIMO 10%])</f>
        <v>46474.3125</v>
      </c>
      <c r="E6" s="8">
        <f>Tabela11014182226303438424650545862667074788286909498102106110114118122126134138142146150154158162[Renda 87%]-(B12+B23+B31)</f>
        <v>9744.3125</v>
      </c>
      <c r="F6" s="11"/>
      <c r="G6" s="11"/>
      <c r="H6" s="11"/>
      <c r="I6" s="7">
        <f>B12+B23+B31</f>
        <v>36730</v>
      </c>
      <c r="J6" s="9">
        <f>Tabela11014182226303438424650545862667074788286909498102106110114118122126134138142146150154158162[Sando Final]+I6</f>
        <v>46474.3125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59</v>
      </c>
      <c r="B9" s="4">
        <v>1000</v>
      </c>
      <c r="C9" s="18" t="s">
        <v>80</v>
      </c>
      <c r="D9" s="1"/>
      <c r="E9" s="1"/>
      <c r="F9" s="1"/>
      <c r="G9" s="1"/>
      <c r="H9" s="1"/>
      <c r="I9" s="1"/>
      <c r="J9" s="1"/>
      <c r="L9" s="19"/>
    </row>
    <row r="10" spans="1:12">
      <c r="A10" s="4" t="s">
        <v>123</v>
      </c>
      <c r="B10" s="4">
        <v>5000</v>
      </c>
      <c r="C10" s="18" t="s">
        <v>80</v>
      </c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97</v>
      </c>
      <c r="B11" s="4">
        <v>1750</v>
      </c>
      <c r="C11" s="18" t="s">
        <v>80</v>
      </c>
      <c r="D11" s="1"/>
      <c r="E11" s="1"/>
      <c r="F11" s="1"/>
      <c r="G11" s="1"/>
      <c r="H11" s="1"/>
      <c r="I11" s="1"/>
      <c r="J11" s="1"/>
      <c r="L11" s="19"/>
    </row>
    <row r="12" spans="1:12">
      <c r="A12" s="2" t="s">
        <v>14</v>
      </c>
      <c r="B12" s="2">
        <f>SUM(B9:B11)</f>
        <v>7750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1"/>
      <c r="B13" s="20"/>
      <c r="C13" s="1"/>
      <c r="D13" s="1"/>
      <c r="E13" s="1"/>
      <c r="F13" s="1"/>
      <c r="G13" s="1"/>
      <c r="H13" s="1"/>
      <c r="I13" s="1"/>
      <c r="J13" s="1"/>
      <c r="L13" s="19"/>
    </row>
    <row r="14" spans="1:12">
      <c r="A14" s="4" t="s">
        <v>15</v>
      </c>
      <c r="B14" s="4" t="s">
        <v>10</v>
      </c>
      <c r="C14" s="27" t="s">
        <v>92</v>
      </c>
      <c r="D14" s="1"/>
      <c r="E14" s="1"/>
      <c r="F14" s="1"/>
      <c r="G14" s="1"/>
      <c r="H14" s="1"/>
      <c r="I14" s="1"/>
      <c r="J14" s="1"/>
      <c r="L14" s="19"/>
    </row>
    <row r="15" spans="1:12">
      <c r="A15" s="10" t="s">
        <v>16</v>
      </c>
      <c r="B15" s="10">
        <v>6000</v>
      </c>
      <c r="C15" s="18"/>
      <c r="D15" s="1"/>
      <c r="E15" s="1"/>
      <c r="F15" s="1"/>
      <c r="G15" s="1"/>
      <c r="H15" s="1"/>
      <c r="I15" s="1"/>
      <c r="J15" s="1"/>
    </row>
    <row r="16" spans="1:12">
      <c r="A16" s="23" t="s">
        <v>17</v>
      </c>
      <c r="B16" s="23">
        <v>600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41</v>
      </c>
      <c r="B17" s="23">
        <v>1180</v>
      </c>
      <c r="C17" s="18" t="s">
        <v>80</v>
      </c>
      <c r="D17" s="1"/>
      <c r="E17" s="1"/>
      <c r="F17" s="1"/>
      <c r="G17" s="1"/>
      <c r="H17" s="1"/>
      <c r="I17" s="1"/>
      <c r="J17" s="1"/>
    </row>
    <row r="18" spans="1:10">
      <c r="A18" s="23" t="s">
        <v>19</v>
      </c>
      <c r="B18" s="23">
        <v>500</v>
      </c>
      <c r="C18" s="18"/>
      <c r="D18" s="1"/>
      <c r="E18" s="1"/>
      <c r="F18" s="1"/>
      <c r="G18" s="1"/>
      <c r="H18" s="1"/>
      <c r="I18" s="1"/>
      <c r="J18" s="1"/>
    </row>
    <row r="19" spans="1:10">
      <c r="A19" s="1" t="s">
        <v>119</v>
      </c>
      <c r="B19" s="1">
        <v>2700</v>
      </c>
      <c r="C19" s="18" t="s">
        <v>80</v>
      </c>
      <c r="D19" s="1"/>
      <c r="E19" s="1"/>
      <c r="F19" s="1"/>
      <c r="G19" s="1"/>
      <c r="H19" s="1"/>
      <c r="I19" s="1"/>
      <c r="J19" s="1"/>
    </row>
    <row r="20" spans="1:10">
      <c r="A20" s="10" t="s">
        <v>20</v>
      </c>
      <c r="B20" s="10">
        <v>300</v>
      </c>
      <c r="C20" s="18" t="s">
        <v>80</v>
      </c>
      <c r="D20" s="1"/>
      <c r="E20" s="1"/>
      <c r="F20" s="1"/>
      <c r="G20" s="1"/>
      <c r="H20" s="1"/>
      <c r="I20" s="1"/>
      <c r="J20" s="1"/>
    </row>
    <row r="21" spans="1:10">
      <c r="A21" s="23" t="s">
        <v>63</v>
      </c>
      <c r="B21" s="23">
        <v>1500</v>
      </c>
      <c r="C21" s="18"/>
      <c r="D21" s="1"/>
      <c r="E21" s="1"/>
      <c r="F21" s="1"/>
      <c r="G21" s="1"/>
      <c r="H21" s="1"/>
      <c r="I21" s="1"/>
      <c r="J21" s="1"/>
    </row>
    <row r="22" spans="1:10">
      <c r="A22" s="23" t="s">
        <v>64</v>
      </c>
      <c r="B22" s="23">
        <v>3700</v>
      </c>
      <c r="C22" s="18" t="s">
        <v>126</v>
      </c>
      <c r="D22" s="1"/>
      <c r="E22" s="1"/>
      <c r="F22" s="1"/>
      <c r="G22" s="1"/>
      <c r="H22" s="1"/>
      <c r="I22" s="1"/>
      <c r="J22" s="1"/>
    </row>
    <row r="23" spans="1:10">
      <c r="A23" s="2" t="s">
        <v>14</v>
      </c>
      <c r="B23" s="2">
        <f>SUM(B15:B22)</f>
        <v>16480</v>
      </c>
      <c r="C23" s="18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5" t="s">
        <v>22</v>
      </c>
      <c r="B25" s="6" t="s">
        <v>10</v>
      </c>
      <c r="C25" s="4" t="s">
        <v>101</v>
      </c>
      <c r="D25" s="1"/>
      <c r="E25" s="1"/>
      <c r="F25" s="1"/>
      <c r="G25" s="1"/>
      <c r="H25" s="1"/>
      <c r="I25" s="1"/>
      <c r="J25" s="1"/>
    </row>
    <row r="26" spans="1:10">
      <c r="A26" s="10" t="s">
        <v>26</v>
      </c>
      <c r="B26" s="10">
        <v>6000</v>
      </c>
      <c r="C26" s="26" t="s">
        <v>80</v>
      </c>
      <c r="D26" s="1"/>
      <c r="E26" s="1"/>
      <c r="F26" s="1"/>
      <c r="G26" s="1"/>
      <c r="H26" s="1"/>
      <c r="I26" s="1"/>
      <c r="J26" s="1"/>
    </row>
    <row r="27" spans="1:10">
      <c r="A27" s="10" t="s">
        <v>27</v>
      </c>
      <c r="B27" s="10">
        <v>1000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0">
      <c r="A28" s="1" t="s">
        <v>127</v>
      </c>
      <c r="B28" s="1">
        <v>4500</v>
      </c>
      <c r="C28" s="18" t="s">
        <v>80</v>
      </c>
      <c r="D28" s="1"/>
      <c r="E28" s="1"/>
      <c r="F28" s="1"/>
      <c r="G28" s="1"/>
      <c r="H28" s="1"/>
      <c r="I28" s="1"/>
      <c r="J28" s="1"/>
    </row>
    <row r="29" spans="1:10">
      <c r="A29" s="10" t="s">
        <v>65</v>
      </c>
      <c r="B29" s="10">
        <v>500</v>
      </c>
      <c r="C29" s="26" t="s">
        <v>80</v>
      </c>
      <c r="D29" s="1"/>
      <c r="E29" s="1"/>
      <c r="F29" s="1"/>
      <c r="G29" s="1"/>
      <c r="H29" s="1"/>
      <c r="I29" s="1"/>
      <c r="J29" s="1"/>
    </row>
    <row r="30" spans="1:10">
      <c r="A30" s="10" t="s">
        <v>24</v>
      </c>
      <c r="B30" s="10">
        <v>500</v>
      </c>
      <c r="C30" s="26" t="s">
        <v>80</v>
      </c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SUM(B26:B30)</f>
        <v>12500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D38" s="1"/>
      <c r="E38" s="1"/>
      <c r="F38" s="1"/>
      <c r="G38" s="1"/>
      <c r="H38" s="1"/>
      <c r="I38" s="1"/>
      <c r="J38" s="1"/>
    </row>
    <row r="39" spans="1:10">
      <c r="D39" s="1"/>
      <c r="E39" s="1"/>
      <c r="F39" s="1"/>
      <c r="G39" s="1"/>
      <c r="H39" s="1"/>
      <c r="I39" s="1"/>
      <c r="J39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6149-27B5-4C85-9512-B9E8FBA2F3DB}">
  <dimension ref="A2:L40"/>
  <sheetViews>
    <sheetView zoomScale="130" zoomScaleNormal="130" workbookViewId="0">
      <selection activeCell="B24" sqref="B24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34361.25+19057.5</f>
        <v>53418.75</v>
      </c>
      <c r="B6" s="13">
        <f>Tabela11014182226303438424650545862667074788286909498102106110114118122126134138142146150154158162170[ENTRADA]*3/100</f>
        <v>1602.5625</v>
      </c>
      <c r="C6" s="13">
        <f>Tabela11014182226303438424650545862667074788286909498102106110114118122126134138142146150154158162170[ENTRADA]*10/100</f>
        <v>5341.875</v>
      </c>
      <c r="D6" s="11">
        <f>Tabela11014182226303438424650545862667074788286909498102106110114118122126134138142146150154158162170[ENTRADA]-(Tabela11014182226303438424650545862667074788286909498102106110114118122126134138142146150154158162170[INSS 3%]+Tabela11014182226303438424650545862667074788286909498102106110114118122126134138142146150154158162170[DIZIMO 10%])</f>
        <v>46474.3125</v>
      </c>
      <c r="E6" s="8">
        <f>Tabela11014182226303438424650545862667074788286909498102106110114118122126134138142146150154158162170[Renda 87%]-(B13+B24+B32)</f>
        <v>8199.3125</v>
      </c>
      <c r="F6" s="11"/>
      <c r="G6" s="11"/>
      <c r="H6" s="11"/>
      <c r="I6" s="7">
        <f>B13+B24+B32</f>
        <v>38275</v>
      </c>
      <c r="J6" s="9">
        <f>Tabela11014182226303438424650545862667074788286909498102106110114118122126134138142146150154158162170[Saldo Final]+I6</f>
        <v>46474.3125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59</v>
      </c>
      <c r="B9" s="4">
        <v>555</v>
      </c>
      <c r="C9" s="18" t="s">
        <v>80</v>
      </c>
      <c r="D9" s="1"/>
      <c r="E9" s="1"/>
      <c r="F9" s="1"/>
      <c r="G9" s="1"/>
      <c r="H9" s="1"/>
      <c r="I9" s="1"/>
      <c r="J9" s="1"/>
      <c r="L9" s="19"/>
    </row>
    <row r="10" spans="1:12">
      <c r="A10" s="4" t="s">
        <v>123</v>
      </c>
      <c r="B10" s="4">
        <v>4000</v>
      </c>
      <c r="C10" s="18" t="s">
        <v>80</v>
      </c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109</v>
      </c>
      <c r="B11" s="4">
        <v>200</v>
      </c>
      <c r="C11" s="18" t="s">
        <v>80</v>
      </c>
      <c r="D11" s="1"/>
      <c r="E11" s="1"/>
      <c r="F11" s="1"/>
      <c r="G11" s="1"/>
      <c r="H11" s="1"/>
      <c r="I11" s="1"/>
      <c r="J11" s="1"/>
      <c r="L11" s="19"/>
    </row>
    <row r="12" spans="1:12">
      <c r="A12" s="4" t="s">
        <v>129</v>
      </c>
      <c r="B12" s="4">
        <v>2400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2" t="s">
        <v>14</v>
      </c>
      <c r="B13" s="2">
        <f>SUM(B9:B11)</f>
        <v>4755</v>
      </c>
      <c r="C13" s="18"/>
      <c r="D13" s="1"/>
      <c r="E13" s="1"/>
      <c r="F13" s="1"/>
      <c r="G13" s="1"/>
      <c r="H13" s="1"/>
      <c r="I13" s="1"/>
      <c r="J13" s="1"/>
      <c r="L13" s="19"/>
    </row>
    <row r="14" spans="1:12">
      <c r="A14" s="1"/>
      <c r="B14" s="20"/>
      <c r="C14" s="1"/>
      <c r="D14" s="1"/>
      <c r="E14" s="1"/>
      <c r="F14" s="1"/>
      <c r="G14" s="1"/>
      <c r="H14" s="1"/>
      <c r="I14" s="1"/>
      <c r="J14" s="1"/>
      <c r="L14" s="19"/>
    </row>
    <row r="15" spans="1:12">
      <c r="A15" s="4" t="s">
        <v>15</v>
      </c>
      <c r="B15" s="4" t="s">
        <v>10</v>
      </c>
      <c r="C15" s="27" t="s">
        <v>92</v>
      </c>
      <c r="D15" s="1"/>
      <c r="E15" s="1"/>
      <c r="F15" s="1"/>
      <c r="G15" s="1"/>
      <c r="H15" s="1"/>
      <c r="I15" s="1"/>
      <c r="J15" s="1"/>
      <c r="L15" s="19"/>
    </row>
    <row r="16" spans="1:12">
      <c r="A16" s="10" t="s">
        <v>16</v>
      </c>
      <c r="B16" s="10">
        <v>6000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17</v>
      </c>
      <c r="B17" s="23">
        <v>600</v>
      </c>
      <c r="C17" s="18"/>
      <c r="D17" s="1"/>
      <c r="E17" s="1"/>
      <c r="F17" s="1"/>
      <c r="G17" s="1"/>
      <c r="H17" s="1"/>
      <c r="I17" s="1"/>
      <c r="J17" s="1"/>
    </row>
    <row r="18" spans="1:10">
      <c r="A18" s="23" t="s">
        <v>41</v>
      </c>
      <c r="B18" s="23">
        <v>1180</v>
      </c>
      <c r="C18" s="18" t="s">
        <v>80</v>
      </c>
      <c r="D18" s="1"/>
      <c r="E18" s="1"/>
      <c r="F18" s="1"/>
      <c r="G18" s="1"/>
      <c r="H18" s="1"/>
      <c r="I18" s="1"/>
      <c r="J18" s="1"/>
    </row>
    <row r="19" spans="1:10">
      <c r="A19" s="23" t="s">
        <v>19</v>
      </c>
      <c r="B19" s="23">
        <v>500</v>
      </c>
      <c r="C19" s="18"/>
      <c r="D19" s="1"/>
      <c r="E19" s="1"/>
      <c r="F19" s="1"/>
      <c r="G19" s="1"/>
      <c r="H19" s="1"/>
      <c r="I19" s="1"/>
      <c r="J19" s="1"/>
    </row>
    <row r="20" spans="1:10">
      <c r="A20" s="1" t="s">
        <v>119</v>
      </c>
      <c r="B20" s="1">
        <v>1700</v>
      </c>
      <c r="C20" s="18" t="s">
        <v>80</v>
      </c>
      <c r="D20" s="1"/>
      <c r="E20" s="1"/>
      <c r="F20" s="1"/>
      <c r="G20" s="1"/>
      <c r="H20" s="1"/>
      <c r="I20" s="1"/>
      <c r="J20" s="1"/>
    </row>
    <row r="21" spans="1:10">
      <c r="A21" s="10" t="s">
        <v>20</v>
      </c>
      <c r="B21" s="10">
        <v>300</v>
      </c>
      <c r="C21" s="18" t="s">
        <v>80</v>
      </c>
      <c r="D21" s="1"/>
      <c r="E21" s="1"/>
      <c r="F21" s="1"/>
      <c r="G21" s="1"/>
      <c r="H21" s="1"/>
      <c r="I21" s="1"/>
      <c r="J21" s="1"/>
    </row>
    <row r="22" spans="1:10">
      <c r="A22" s="23" t="s">
        <v>63</v>
      </c>
      <c r="B22" s="23">
        <v>2600</v>
      </c>
      <c r="C22" s="18"/>
      <c r="D22" s="1"/>
      <c r="E22" s="1"/>
      <c r="F22" s="1"/>
      <c r="G22" s="1"/>
      <c r="H22" s="1"/>
      <c r="I22" s="1"/>
      <c r="J22" s="1"/>
    </row>
    <row r="23" spans="1:10">
      <c r="A23" s="23" t="s">
        <v>64</v>
      </c>
      <c r="B23" s="23">
        <v>2600</v>
      </c>
      <c r="C23" s="18"/>
      <c r="D23" s="1"/>
      <c r="E23" s="1"/>
      <c r="F23" s="1"/>
      <c r="G23" s="1"/>
      <c r="H23" s="1"/>
      <c r="I23" s="1"/>
      <c r="J23" s="1"/>
    </row>
    <row r="24" spans="1:10">
      <c r="A24" s="2" t="s">
        <v>14</v>
      </c>
      <c r="B24" s="2">
        <f>SUM(B16:B23)</f>
        <v>15480</v>
      </c>
      <c r="C24" s="18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5" t="s">
        <v>22</v>
      </c>
      <c r="B26" s="6" t="s">
        <v>10</v>
      </c>
      <c r="C26" s="4" t="s">
        <v>101</v>
      </c>
      <c r="D26" s="1"/>
      <c r="E26" s="1"/>
      <c r="F26" s="1"/>
      <c r="G26" s="1"/>
      <c r="H26" s="1"/>
      <c r="I26" s="1"/>
      <c r="J26" s="1"/>
    </row>
    <row r="27" spans="1:10">
      <c r="A27" s="10" t="s">
        <v>26</v>
      </c>
      <c r="B27" s="10">
        <v>6000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0">
      <c r="A28" s="10" t="s">
        <v>27</v>
      </c>
      <c r="B28" s="10">
        <v>5040</v>
      </c>
      <c r="C28" s="26" t="s">
        <v>80</v>
      </c>
      <c r="D28" s="1"/>
      <c r="E28" s="1"/>
      <c r="F28" s="1"/>
      <c r="G28" s="1"/>
      <c r="H28" s="1"/>
      <c r="I28" s="1"/>
      <c r="J28" s="1"/>
    </row>
    <row r="29" spans="1:10">
      <c r="A29" s="1" t="s">
        <v>127</v>
      </c>
      <c r="B29" s="1">
        <v>6000</v>
      </c>
      <c r="C29" s="18" t="s">
        <v>80</v>
      </c>
      <c r="D29" s="1"/>
      <c r="E29" s="1"/>
      <c r="F29" s="1"/>
      <c r="G29" s="1"/>
      <c r="H29" s="1"/>
      <c r="I29" s="1"/>
      <c r="J29" s="1"/>
    </row>
    <row r="30" spans="1:10">
      <c r="A30" s="10" t="s">
        <v>65</v>
      </c>
      <c r="B30" s="10">
        <v>500</v>
      </c>
      <c r="C30" s="26" t="s">
        <v>80</v>
      </c>
      <c r="D30" s="1"/>
      <c r="E30" s="1"/>
      <c r="F30" s="1"/>
      <c r="G30" s="1"/>
      <c r="H30" s="1"/>
      <c r="I30" s="1"/>
      <c r="J30" s="1"/>
    </row>
    <row r="31" spans="1:10">
      <c r="A31" s="10" t="s">
        <v>24</v>
      </c>
      <c r="B31" s="10">
        <v>500</v>
      </c>
      <c r="C31" s="26" t="s">
        <v>80</v>
      </c>
      <c r="D31" s="1"/>
      <c r="E31" s="1"/>
      <c r="F31" s="1"/>
      <c r="G31" s="1"/>
      <c r="H31" s="1"/>
      <c r="I31" s="1"/>
      <c r="J31" s="1"/>
    </row>
    <row r="32" spans="1:10">
      <c r="A32" s="2" t="s">
        <v>14</v>
      </c>
      <c r="B32" s="2">
        <f>SUM(B27:B31)</f>
        <v>18040</v>
      </c>
      <c r="C32" s="18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D39" s="1"/>
      <c r="E39" s="1"/>
      <c r="F39" s="1"/>
      <c r="G39" s="1"/>
      <c r="H39" s="1"/>
      <c r="I39" s="1"/>
      <c r="J39" s="1"/>
    </row>
    <row r="40" spans="1:10">
      <c r="D40" s="1"/>
      <c r="E40" s="1"/>
      <c r="F40" s="1"/>
      <c r="G40" s="1"/>
      <c r="H40" s="1"/>
      <c r="I40" s="1"/>
      <c r="J40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BE49-B92E-574A-9B80-A0EE6A2C610C}">
  <dimension ref="A2:L41"/>
  <sheetViews>
    <sheetView topLeftCell="A25" zoomScale="130" zoomScaleNormal="130" workbookViewId="0">
      <selection activeCell="C15" sqref="C15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34361.25+19057.5</f>
        <v>53418.75</v>
      </c>
      <c r="B6" s="13">
        <f>Tabela11014182226303438424650545862667074788286909498102106110114118122126134138142146150154158162170174[ENTRADA]*3/100</f>
        <v>1602.5625</v>
      </c>
      <c r="C6" s="13">
        <f>Tabela11014182226303438424650545862667074788286909498102106110114118122126134138142146150154158162170174[ENTRADA]*10/100</f>
        <v>5341.875</v>
      </c>
      <c r="D6" s="11">
        <f>Tabela11014182226303438424650545862667074788286909498102106110114118122126134138142146150154158162170174[ENTRADA]-(Tabela11014182226303438424650545862667074788286909498102106110114118122126134138142146150154158162170174[INSS 3%]+Tabela11014182226303438424650545862667074788286909498102106110114118122126134138142146150154158162170174[DIZIMO 10%])</f>
        <v>46474.3125</v>
      </c>
      <c r="E6" s="8">
        <f>Tabela11014182226303438424650545862667074788286909498102106110114118122126134138142146150154158162170174[Renda 87%]-(B14+B25+B33)</f>
        <v>2644.3125</v>
      </c>
      <c r="F6" s="11"/>
      <c r="G6" s="11"/>
      <c r="H6" s="11"/>
      <c r="I6" s="7">
        <f>B14+B25+B33</f>
        <v>43830</v>
      </c>
      <c r="J6" s="9">
        <f>Tabela11014182226303438424650545862667074788286909498102106110114118122126134138142146150154158162170174[Saldo Final]+I6</f>
        <v>46474.3125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59</v>
      </c>
      <c r="B9" s="4">
        <v>1000</v>
      </c>
      <c r="C9" s="18" t="s">
        <v>118</v>
      </c>
      <c r="D9" s="1"/>
      <c r="E9" s="1"/>
      <c r="F9" s="1"/>
      <c r="G9" s="1"/>
      <c r="H9" s="1"/>
      <c r="I9" s="1"/>
      <c r="J9" s="1"/>
      <c r="L9" s="19"/>
    </row>
    <row r="10" spans="1:12">
      <c r="A10" s="4" t="s">
        <v>99</v>
      </c>
      <c r="B10" s="4">
        <v>2000</v>
      </c>
      <c r="C10" s="18" t="s">
        <v>118</v>
      </c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110</v>
      </c>
      <c r="B11" s="4">
        <v>1700</v>
      </c>
      <c r="C11" s="18" t="s">
        <v>118</v>
      </c>
      <c r="D11" s="1"/>
      <c r="E11" s="1"/>
      <c r="F11" s="1"/>
      <c r="G11" s="1"/>
      <c r="H11" s="1"/>
      <c r="I11" s="1"/>
      <c r="J11" s="1"/>
      <c r="L11" s="19"/>
    </row>
    <row r="12" spans="1:12">
      <c r="A12" s="4" t="s">
        <v>130</v>
      </c>
      <c r="B12" s="4">
        <v>2400</v>
      </c>
      <c r="C12" s="18" t="s">
        <v>118</v>
      </c>
      <c r="D12" s="1"/>
      <c r="E12" s="1"/>
      <c r="F12" s="1"/>
      <c r="G12" s="1"/>
      <c r="H12" s="1"/>
      <c r="I12" s="1"/>
      <c r="J12" s="1"/>
      <c r="L12" s="19"/>
    </row>
    <row r="13" spans="1:12">
      <c r="A13" s="4" t="s">
        <v>131</v>
      </c>
      <c r="B13" s="4">
        <v>1460</v>
      </c>
      <c r="C13" s="18" t="s">
        <v>118</v>
      </c>
      <c r="D13" s="1"/>
      <c r="E13" s="1"/>
      <c r="F13" s="1"/>
      <c r="G13" s="1"/>
      <c r="H13" s="1"/>
      <c r="I13" s="1"/>
      <c r="J13" s="1"/>
      <c r="L13" s="19"/>
    </row>
    <row r="14" spans="1:12">
      <c r="A14" s="2" t="s">
        <v>14</v>
      </c>
      <c r="B14" s="28">
        <f>SUM(B9:B13)</f>
        <v>8560</v>
      </c>
      <c r="C14" s="18"/>
      <c r="D14" s="1"/>
      <c r="E14" s="1"/>
      <c r="F14" s="1"/>
      <c r="G14" s="1"/>
      <c r="H14" s="1"/>
      <c r="I14" s="1"/>
      <c r="J14" s="1"/>
      <c r="L14" s="19"/>
    </row>
    <row r="15" spans="1:12">
      <c r="A15" s="1"/>
      <c r="B15" s="29"/>
      <c r="C15" s="1"/>
      <c r="D15" s="1"/>
      <c r="E15" s="1"/>
      <c r="F15" s="1"/>
      <c r="G15" s="1"/>
      <c r="H15" s="1"/>
      <c r="I15" s="1"/>
      <c r="J15" s="1"/>
      <c r="L15" s="19"/>
    </row>
    <row r="16" spans="1:12">
      <c r="A16" s="4" t="s">
        <v>15</v>
      </c>
      <c r="B16" s="4" t="s">
        <v>10</v>
      </c>
      <c r="C16" s="27" t="s">
        <v>92</v>
      </c>
      <c r="D16" s="1"/>
      <c r="E16" s="1"/>
      <c r="F16" s="1"/>
      <c r="G16" s="1"/>
      <c r="H16" s="1"/>
      <c r="I16" s="1"/>
      <c r="J16" s="1"/>
      <c r="L16" s="19"/>
    </row>
    <row r="17" spans="1:10">
      <c r="A17" s="10" t="s">
        <v>16</v>
      </c>
      <c r="B17" s="10">
        <v>6000</v>
      </c>
      <c r="C17" s="18"/>
      <c r="D17" s="1"/>
      <c r="E17" s="1"/>
      <c r="F17" s="1"/>
      <c r="G17" s="1"/>
      <c r="H17" s="1"/>
      <c r="I17" s="1"/>
      <c r="J17" s="1"/>
    </row>
    <row r="18" spans="1:10">
      <c r="A18" s="23" t="s">
        <v>17</v>
      </c>
      <c r="B18" s="23">
        <v>600</v>
      </c>
      <c r="C18" s="18" t="s">
        <v>118</v>
      </c>
      <c r="D18" s="1"/>
      <c r="E18" s="1"/>
      <c r="F18" s="1"/>
      <c r="G18" s="1"/>
      <c r="H18" s="1"/>
      <c r="I18" s="1"/>
      <c r="J18" s="1"/>
    </row>
    <row r="19" spans="1:10">
      <c r="A19" s="23" t="s">
        <v>41</v>
      </c>
      <c r="B19" s="23">
        <v>1180</v>
      </c>
      <c r="C19" s="18" t="s">
        <v>118</v>
      </c>
      <c r="D19" s="1"/>
      <c r="E19" s="1"/>
      <c r="F19" s="1"/>
      <c r="G19" s="1"/>
      <c r="H19" s="1"/>
      <c r="I19" s="1"/>
      <c r="J19" s="1"/>
    </row>
    <row r="20" spans="1:10">
      <c r="A20" s="23" t="s">
        <v>19</v>
      </c>
      <c r="B20" s="23">
        <v>500</v>
      </c>
      <c r="C20" s="18"/>
      <c r="D20" s="1"/>
      <c r="E20" s="1"/>
      <c r="F20" s="1"/>
      <c r="G20" s="1"/>
      <c r="H20" s="1"/>
      <c r="I20" s="1"/>
      <c r="J20" s="1"/>
    </row>
    <row r="21" spans="1:10">
      <c r="A21" s="1" t="s">
        <v>119</v>
      </c>
      <c r="B21" s="1">
        <v>4120</v>
      </c>
      <c r="C21" s="18" t="s">
        <v>118</v>
      </c>
      <c r="D21" s="1"/>
      <c r="E21" s="1"/>
      <c r="F21" s="1"/>
      <c r="G21" s="1"/>
      <c r="H21" s="1"/>
      <c r="I21" s="1"/>
      <c r="J21" s="1"/>
    </row>
    <row r="22" spans="1:10">
      <c r="A22" s="10" t="s">
        <v>20</v>
      </c>
      <c r="B22" s="10">
        <v>750</v>
      </c>
      <c r="C22" s="18" t="s">
        <v>80</v>
      </c>
      <c r="D22" s="1"/>
      <c r="E22" s="1"/>
      <c r="F22" s="1"/>
      <c r="G22" s="1"/>
      <c r="H22" s="1"/>
      <c r="I22" s="1"/>
      <c r="J22" s="1"/>
    </row>
    <row r="23" spans="1:10">
      <c r="A23" s="23" t="s">
        <v>63</v>
      </c>
      <c r="B23" s="23">
        <v>1500</v>
      </c>
      <c r="C23" s="18" t="s">
        <v>118</v>
      </c>
      <c r="D23" s="1"/>
      <c r="E23" s="1"/>
      <c r="F23" s="1"/>
      <c r="G23" s="1"/>
      <c r="H23" s="1"/>
      <c r="I23" s="1"/>
      <c r="J23" s="1"/>
    </row>
    <row r="24" spans="1:10">
      <c r="A24" s="23" t="s">
        <v>64</v>
      </c>
      <c r="B24" s="23">
        <v>5120</v>
      </c>
      <c r="C24" s="18" t="s">
        <v>118</v>
      </c>
      <c r="D24" s="1"/>
      <c r="E24" s="1"/>
      <c r="F24" s="1"/>
      <c r="G24" s="1"/>
      <c r="H24" s="1"/>
      <c r="I24" s="1"/>
      <c r="J24" s="1"/>
    </row>
    <row r="25" spans="1:10">
      <c r="A25" s="2" t="s">
        <v>14</v>
      </c>
      <c r="B25" s="2">
        <f>SUM(B17:B24)</f>
        <v>19770</v>
      </c>
      <c r="C25" s="18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5" t="s">
        <v>22</v>
      </c>
      <c r="B27" s="6" t="s">
        <v>10</v>
      </c>
      <c r="C27" s="4" t="s">
        <v>101</v>
      </c>
      <c r="D27" s="1"/>
      <c r="E27" s="1"/>
      <c r="F27" s="1"/>
      <c r="G27" s="1"/>
      <c r="H27" s="1"/>
      <c r="I27" s="1"/>
      <c r="J27" s="1"/>
    </row>
    <row r="28" spans="1:10">
      <c r="A28" s="10" t="s">
        <v>26</v>
      </c>
      <c r="B28" s="10">
        <v>6000</v>
      </c>
      <c r="C28" s="26" t="s">
        <v>80</v>
      </c>
      <c r="D28" s="1"/>
      <c r="E28" s="1"/>
      <c r="F28" s="1"/>
      <c r="G28" s="1"/>
      <c r="H28" s="1"/>
      <c r="I28" s="1"/>
      <c r="J28" s="1"/>
    </row>
    <row r="29" spans="1:10">
      <c r="A29" s="10" t="s">
        <v>27</v>
      </c>
      <c r="B29" s="10">
        <v>1000</v>
      </c>
      <c r="C29" s="26" t="s">
        <v>80</v>
      </c>
      <c r="D29" s="1"/>
      <c r="E29" s="1"/>
      <c r="F29" s="1"/>
      <c r="G29" s="1"/>
      <c r="H29" s="1"/>
      <c r="I29" s="1"/>
      <c r="J29" s="1"/>
    </row>
    <row r="30" spans="1:10">
      <c r="A30" s="1" t="s">
        <v>127</v>
      </c>
      <c r="B30" s="1">
        <v>6000</v>
      </c>
      <c r="C30" s="18" t="s">
        <v>80</v>
      </c>
      <c r="D30" s="1"/>
      <c r="E30" s="1"/>
      <c r="F30" s="1"/>
      <c r="G30" s="1"/>
      <c r="H30" s="1"/>
      <c r="I30" s="1"/>
      <c r="J30" s="1"/>
    </row>
    <row r="31" spans="1:10">
      <c r="A31" s="10" t="s">
        <v>65</v>
      </c>
      <c r="B31" s="10">
        <v>500</v>
      </c>
      <c r="C31" s="26" t="s">
        <v>118</v>
      </c>
      <c r="D31" s="1"/>
      <c r="E31" s="1"/>
      <c r="F31" s="1"/>
      <c r="G31" s="1"/>
      <c r="H31" s="1"/>
      <c r="I31" s="1"/>
      <c r="J31" s="1"/>
    </row>
    <row r="32" spans="1:10">
      <c r="A32" s="10" t="s">
        <v>24</v>
      </c>
      <c r="B32" s="10">
        <v>2000</v>
      </c>
      <c r="C32" s="26" t="s">
        <v>118</v>
      </c>
      <c r="D32" s="1"/>
      <c r="E32" s="1"/>
      <c r="F32" s="1"/>
      <c r="G32" s="1"/>
      <c r="H32" s="1"/>
      <c r="I32" s="1"/>
      <c r="J32" s="1"/>
    </row>
    <row r="33" spans="1:10">
      <c r="A33" s="2" t="s">
        <v>14</v>
      </c>
      <c r="B33" s="2">
        <f>SUM(B28:B32)</f>
        <v>15500</v>
      </c>
      <c r="C33" s="18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D40" s="1"/>
      <c r="E40" s="1"/>
      <c r="F40" s="1"/>
      <c r="G40" s="1"/>
      <c r="H40" s="1"/>
      <c r="I40" s="1"/>
      <c r="J40" s="1"/>
    </row>
    <row r="41" spans="1:10">
      <c r="D41" s="1"/>
      <c r="E41" s="1"/>
      <c r="F41" s="1"/>
      <c r="G41" s="1"/>
      <c r="H41" s="1"/>
      <c r="I41" s="1"/>
      <c r="J41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FB96-2FF2-49F9-A527-52A414883B34}">
  <dimension ref="A2:L42"/>
  <sheetViews>
    <sheetView topLeftCell="A7" zoomScale="130" zoomScaleNormal="130" workbookViewId="0">
      <selection activeCell="I13" sqref="I13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34361.25+19057.5</f>
        <v>53418.75</v>
      </c>
      <c r="B6" s="13">
        <f>Tabela11014182226303438424650545862667074788286909498102106110114118122126134138142146150154158162170174178[ENTRADA]*3/100</f>
        <v>1602.5625</v>
      </c>
      <c r="C6" s="13">
        <f>Tabela11014182226303438424650545862667074788286909498102106110114118122126134138142146150154158162170174178[ENTRADA]*10/100</f>
        <v>5341.875</v>
      </c>
      <c r="D6" s="11">
        <f>Tabela11014182226303438424650545862667074788286909498102106110114118122126134138142146150154158162170174178[ENTRADA]-(Tabela11014182226303438424650545862667074788286909498102106110114118122126134138142146150154158162170174178[INSS 3%]+Tabela11014182226303438424650545862667074788286909498102106110114118122126134138142146150154158162170174178[DIZIMO 10%])</f>
        <v>46474.3125</v>
      </c>
      <c r="E6" s="8">
        <f>Tabela11014182226303438424650545862667074788286909498102106110114118122126134138142146150154158162170174178[Renda 87%]-(B15+B26+B34)</f>
        <v>4024.3125</v>
      </c>
      <c r="F6" s="11"/>
      <c r="G6" s="11"/>
      <c r="H6" s="11"/>
      <c r="I6" s="7">
        <f>B15+B26+B34</f>
        <v>42450</v>
      </c>
      <c r="J6" s="9">
        <f>Tabela11014182226303438424650545862667074788286909498102106110114118122126134138142146150154158162170174178[Saldo Final]+I6</f>
        <v>46474.3125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59</v>
      </c>
      <c r="B9" s="30">
        <v>1500</v>
      </c>
      <c r="C9" s="18" t="s">
        <v>118</v>
      </c>
      <c r="D9" s="1"/>
      <c r="E9" s="1"/>
      <c r="F9" s="1"/>
      <c r="G9" s="1"/>
      <c r="H9" s="1"/>
      <c r="I9" s="1"/>
      <c r="J9" s="1"/>
      <c r="L9" s="19"/>
    </row>
    <row r="10" spans="1:12">
      <c r="A10" s="4" t="s">
        <v>99</v>
      </c>
      <c r="B10" s="30">
        <v>500</v>
      </c>
      <c r="C10" s="18" t="s">
        <v>118</v>
      </c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110</v>
      </c>
      <c r="B11" s="4">
        <v>2500</v>
      </c>
      <c r="C11" s="18" t="s">
        <v>118</v>
      </c>
      <c r="D11" s="1"/>
      <c r="E11" s="1"/>
      <c r="F11" s="1"/>
      <c r="G11" s="1"/>
      <c r="H11" s="1"/>
      <c r="I11" s="1"/>
      <c r="J11" s="1"/>
      <c r="L11" s="19"/>
    </row>
    <row r="12" spans="1:12">
      <c r="A12" s="4" t="s">
        <v>130</v>
      </c>
      <c r="B12" s="4">
        <v>2400</v>
      </c>
      <c r="C12" s="18" t="s">
        <v>118</v>
      </c>
      <c r="D12" s="1"/>
      <c r="E12" s="1"/>
      <c r="F12" s="1"/>
      <c r="G12" s="1"/>
      <c r="H12" s="1"/>
      <c r="I12" s="1"/>
      <c r="J12" s="1"/>
      <c r="L12" s="19"/>
    </row>
    <row r="13" spans="1:12">
      <c r="A13" s="4" t="s">
        <v>132</v>
      </c>
      <c r="B13" s="30">
        <v>400</v>
      </c>
      <c r="C13" s="18"/>
      <c r="D13" s="1"/>
      <c r="E13" s="1"/>
      <c r="F13" s="1"/>
      <c r="G13" s="1"/>
      <c r="H13" s="1"/>
      <c r="I13" s="1"/>
      <c r="J13" s="1"/>
      <c r="L13" s="19"/>
    </row>
    <row r="14" spans="1:12">
      <c r="A14" s="4" t="s">
        <v>133</v>
      </c>
      <c r="B14" s="4">
        <v>2500</v>
      </c>
      <c r="C14" s="18" t="s">
        <v>118</v>
      </c>
      <c r="D14" s="1"/>
      <c r="E14" s="1"/>
      <c r="F14" s="1"/>
      <c r="G14" s="1"/>
      <c r="H14" s="1"/>
      <c r="I14" s="1"/>
      <c r="J14" s="1"/>
      <c r="L14" s="19"/>
    </row>
    <row r="15" spans="1:12">
      <c r="A15" s="2" t="s">
        <v>14</v>
      </c>
      <c r="B15" s="28">
        <f>SUM(B9:B14)</f>
        <v>9800</v>
      </c>
      <c r="C15" s="18"/>
      <c r="D15" s="1"/>
      <c r="E15" s="1"/>
      <c r="F15" s="1"/>
      <c r="G15" s="1"/>
      <c r="H15" s="1"/>
      <c r="I15" s="1"/>
      <c r="J15" s="1"/>
      <c r="L15" s="19"/>
    </row>
    <row r="16" spans="1:12">
      <c r="A16" s="1"/>
      <c r="B16" s="29"/>
      <c r="C16" s="1"/>
      <c r="D16" s="1"/>
      <c r="E16" s="1"/>
      <c r="F16" s="1"/>
      <c r="G16" s="1"/>
      <c r="H16" s="1"/>
      <c r="I16" s="1"/>
      <c r="J16" s="1"/>
      <c r="L16" s="19"/>
    </row>
    <row r="17" spans="1:12">
      <c r="A17" s="4" t="s">
        <v>15</v>
      </c>
      <c r="B17" s="4" t="s">
        <v>10</v>
      </c>
      <c r="C17" s="27" t="s">
        <v>92</v>
      </c>
      <c r="D17" s="1"/>
      <c r="E17" s="1"/>
      <c r="F17" s="1"/>
      <c r="G17" s="1"/>
      <c r="H17" s="1"/>
      <c r="I17" s="1"/>
      <c r="J17" s="1"/>
      <c r="L17" s="19"/>
    </row>
    <row r="18" spans="1:12">
      <c r="A18" s="10" t="s">
        <v>16</v>
      </c>
      <c r="B18" s="10">
        <v>6000</v>
      </c>
      <c r="C18" s="18"/>
      <c r="D18" s="1"/>
      <c r="E18" s="1"/>
      <c r="F18" s="1"/>
      <c r="G18" s="1"/>
      <c r="H18" s="1"/>
      <c r="I18" s="1"/>
      <c r="J18" s="1"/>
    </row>
    <row r="19" spans="1:12">
      <c r="A19" s="23" t="s">
        <v>17</v>
      </c>
      <c r="B19" s="23">
        <v>600</v>
      </c>
      <c r="C19" s="18" t="s">
        <v>118</v>
      </c>
      <c r="D19" s="1"/>
      <c r="E19" s="1"/>
      <c r="F19" s="1"/>
      <c r="G19" s="1"/>
      <c r="H19" s="1"/>
      <c r="I19" s="1"/>
      <c r="J19" s="1"/>
    </row>
    <row r="20" spans="1:12">
      <c r="A20" s="23" t="s">
        <v>41</v>
      </c>
      <c r="B20" s="23">
        <v>1180</v>
      </c>
      <c r="C20" s="18" t="s">
        <v>118</v>
      </c>
      <c r="D20" s="1"/>
      <c r="E20" s="1"/>
      <c r="F20" s="1"/>
      <c r="G20" s="1"/>
      <c r="H20" s="1"/>
      <c r="I20" s="1"/>
      <c r="J20" s="1"/>
    </row>
    <row r="21" spans="1:12">
      <c r="A21" s="23" t="s">
        <v>19</v>
      </c>
      <c r="B21" s="23">
        <v>500</v>
      </c>
      <c r="C21" s="18"/>
      <c r="D21" s="1"/>
      <c r="E21" s="1"/>
      <c r="F21" s="1"/>
      <c r="G21" s="1"/>
      <c r="H21" s="1"/>
      <c r="I21" s="1"/>
      <c r="J21" s="1"/>
    </row>
    <row r="22" spans="1:12">
      <c r="A22" s="1" t="s">
        <v>119</v>
      </c>
      <c r="B22" s="1">
        <v>3000</v>
      </c>
      <c r="C22" s="18" t="s">
        <v>118</v>
      </c>
      <c r="D22" s="1"/>
      <c r="E22" s="1"/>
      <c r="F22" s="1"/>
      <c r="G22" s="1"/>
      <c r="H22" s="1"/>
      <c r="I22" s="1"/>
      <c r="J22" s="1"/>
    </row>
    <row r="23" spans="1:12">
      <c r="A23" s="10" t="s">
        <v>20</v>
      </c>
      <c r="B23" s="10">
        <v>750</v>
      </c>
      <c r="C23" s="18" t="s">
        <v>80</v>
      </c>
      <c r="D23" s="1"/>
      <c r="E23" s="1"/>
      <c r="F23" s="1"/>
      <c r="G23" s="1"/>
      <c r="H23" s="1"/>
      <c r="I23" s="1"/>
      <c r="J23" s="1"/>
    </row>
    <row r="24" spans="1:12">
      <c r="A24" s="23" t="s">
        <v>63</v>
      </c>
      <c r="B24" s="23">
        <v>1500</v>
      </c>
      <c r="C24" s="18" t="s">
        <v>118</v>
      </c>
      <c r="D24" s="1"/>
      <c r="E24" s="1"/>
      <c r="F24" s="1"/>
      <c r="G24" s="1"/>
      <c r="H24" s="1"/>
      <c r="I24" s="1"/>
      <c r="J24" s="1"/>
    </row>
    <row r="25" spans="1:12">
      <c r="A25" s="23" t="s">
        <v>64</v>
      </c>
      <c r="B25" s="23">
        <v>5120</v>
      </c>
      <c r="C25" s="18" t="s">
        <v>118</v>
      </c>
      <c r="D25" s="1"/>
      <c r="E25" s="1"/>
      <c r="F25" s="1"/>
      <c r="G25" s="1"/>
      <c r="H25" s="1"/>
      <c r="I25" s="1"/>
      <c r="J25" s="1"/>
    </row>
    <row r="26" spans="1:12">
      <c r="A26" s="2" t="s">
        <v>14</v>
      </c>
      <c r="B26" s="2">
        <f>SUM(B18:B25)</f>
        <v>18650</v>
      </c>
      <c r="C26" s="18"/>
      <c r="D26" s="1"/>
      <c r="E26" s="1"/>
      <c r="F26" s="1"/>
      <c r="G26" s="1"/>
      <c r="H26" s="1"/>
      <c r="I26" s="1"/>
      <c r="J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2">
      <c r="A28" s="5" t="s">
        <v>22</v>
      </c>
      <c r="B28" s="6" t="s">
        <v>10</v>
      </c>
      <c r="C28" s="4" t="s">
        <v>101</v>
      </c>
      <c r="D28" s="1"/>
      <c r="E28" s="1"/>
      <c r="F28" s="1"/>
      <c r="G28" s="1"/>
      <c r="H28" s="1"/>
      <c r="I28" s="1"/>
      <c r="J28" s="1"/>
    </row>
    <row r="29" spans="1:12">
      <c r="A29" s="10" t="s">
        <v>26</v>
      </c>
      <c r="B29" s="10">
        <v>6000</v>
      </c>
      <c r="C29" s="26" t="s">
        <v>80</v>
      </c>
      <c r="D29" s="1"/>
      <c r="E29" s="1"/>
      <c r="F29" s="1"/>
      <c r="G29" s="1"/>
      <c r="H29" s="1"/>
      <c r="I29" s="1"/>
      <c r="J29" s="1"/>
    </row>
    <row r="30" spans="1:12">
      <c r="A30" s="10" t="s">
        <v>27</v>
      </c>
      <c r="B30" s="10">
        <v>1000</v>
      </c>
      <c r="C30" s="26" t="s">
        <v>80</v>
      </c>
      <c r="D30" s="1"/>
      <c r="E30" s="1"/>
      <c r="F30" s="1"/>
      <c r="G30" s="1"/>
      <c r="H30" s="1"/>
      <c r="I30" s="1"/>
      <c r="J30" s="1"/>
    </row>
    <row r="31" spans="1:12">
      <c r="A31" s="1" t="s">
        <v>127</v>
      </c>
      <c r="B31" s="1">
        <v>6000</v>
      </c>
      <c r="C31" s="18" t="s">
        <v>80</v>
      </c>
      <c r="D31" s="1"/>
      <c r="E31" s="1"/>
      <c r="F31" s="1"/>
      <c r="G31" s="1"/>
      <c r="H31" s="1"/>
      <c r="I31" s="1"/>
      <c r="J31" s="1"/>
    </row>
    <row r="32" spans="1:12">
      <c r="A32" s="10" t="s">
        <v>65</v>
      </c>
      <c r="B32" s="10">
        <v>500</v>
      </c>
      <c r="C32" s="26" t="s">
        <v>118</v>
      </c>
      <c r="D32" s="1"/>
      <c r="E32" s="1"/>
      <c r="F32" s="1"/>
      <c r="G32" s="1"/>
      <c r="H32" s="1"/>
      <c r="I32" s="1"/>
      <c r="J32" s="1"/>
    </row>
    <row r="33" spans="1:10">
      <c r="A33" s="10" t="s">
        <v>24</v>
      </c>
      <c r="B33" s="31">
        <v>500</v>
      </c>
      <c r="C33" s="26" t="s">
        <v>118</v>
      </c>
      <c r="D33" s="1"/>
      <c r="E33" s="1"/>
      <c r="F33" s="1"/>
      <c r="G33" s="1"/>
      <c r="H33" s="1"/>
      <c r="I33" s="1"/>
      <c r="J33" s="1"/>
    </row>
    <row r="34" spans="1:10">
      <c r="A34" s="2" t="s">
        <v>14</v>
      </c>
      <c r="B34" s="2">
        <f>SUM(B29:B33)</f>
        <v>14000</v>
      </c>
      <c r="C34" s="18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D41" s="1"/>
      <c r="E41" s="1"/>
      <c r="F41" s="1"/>
      <c r="G41" s="1"/>
      <c r="H41" s="1"/>
      <c r="I41" s="1"/>
      <c r="J41" s="1"/>
    </row>
    <row r="42" spans="1:10">
      <c r="D42" s="1"/>
      <c r="E42" s="1"/>
      <c r="F42" s="1"/>
      <c r="G42" s="1"/>
      <c r="H42" s="1"/>
      <c r="I42" s="1"/>
      <c r="J42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BFCE-1A93-4A00-B6A5-B782424D63E0}">
  <dimension ref="A2:L39"/>
  <sheetViews>
    <sheetView topLeftCell="A5" zoomScale="130" zoomScaleNormal="130" workbookViewId="0">
      <selection activeCell="D28" sqref="D28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34361.25+19057.5</f>
        <v>53418.75</v>
      </c>
      <c r="B6" s="13">
        <f>Tabela11014182226303438424650545862667074788286909498102106110114118122126134138142146150154158162170174178182[ENTRADA]*3/100</f>
        <v>1602.5625</v>
      </c>
      <c r="C6" s="13">
        <f>Tabela11014182226303438424650545862667074788286909498102106110114118122126134138142146150154158162170174178182[ENTRADA]*10/100</f>
        <v>5341.875</v>
      </c>
      <c r="D6" s="11">
        <f>Tabela11014182226303438424650545862667074788286909498102106110114118122126134138142146150154158162170174178182[ENTRADA]-(Tabela11014182226303438424650545862667074788286909498102106110114118122126134138142146150154158162170174178182[INSS 3%]+Tabela11014182226303438424650545862667074788286909498102106110114118122126134138142146150154158162170174178182[DIZIMO 10%])</f>
        <v>46474.3125</v>
      </c>
      <c r="E6" s="8">
        <f>Tabela11014182226303438424650545862667074788286909498102106110114118122126134138142146150154158162170174178182[Renda 87%]-(B12+B23+B31)</f>
        <v>1244.3125</v>
      </c>
      <c r="F6" s="11"/>
      <c r="G6" s="11"/>
      <c r="H6" s="11"/>
      <c r="I6" s="7">
        <f>B12+B23+B31</f>
        <v>45230</v>
      </c>
      <c r="J6" s="9">
        <f>Tabela11014182226303438424650545862667074788286909498102106110114118122126134138142146150154158162170174178182[Saldo Final]+I6</f>
        <v>46474.3125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59</v>
      </c>
      <c r="B9" s="30">
        <v>2000</v>
      </c>
      <c r="C9" s="18"/>
      <c r="D9" s="1"/>
      <c r="E9" s="1"/>
      <c r="F9" s="1"/>
      <c r="G9" s="1"/>
      <c r="H9" s="1"/>
      <c r="I9" s="1"/>
      <c r="J9" s="1"/>
      <c r="L9" s="19"/>
    </row>
    <row r="10" spans="1:12">
      <c r="A10" s="4" t="s">
        <v>110</v>
      </c>
      <c r="B10" s="4">
        <v>3000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130</v>
      </c>
      <c r="B11" s="4">
        <v>2400</v>
      </c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2" t="s">
        <v>14</v>
      </c>
      <c r="B12" s="28">
        <f>SUM(B9:B11)</f>
        <v>7400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1"/>
      <c r="B13" s="29"/>
      <c r="C13" s="1"/>
      <c r="D13" s="1"/>
      <c r="E13" s="1"/>
      <c r="F13" s="1"/>
      <c r="G13" s="1"/>
      <c r="H13" s="1"/>
      <c r="I13" s="1"/>
      <c r="J13" s="1"/>
      <c r="L13" s="19"/>
    </row>
    <row r="14" spans="1:12">
      <c r="A14" s="4" t="s">
        <v>15</v>
      </c>
      <c r="B14" s="4" t="s">
        <v>10</v>
      </c>
      <c r="C14" s="27" t="s">
        <v>92</v>
      </c>
      <c r="D14" s="1"/>
      <c r="E14" s="1"/>
      <c r="F14" s="1"/>
      <c r="G14" s="1"/>
      <c r="H14" s="1"/>
      <c r="I14" s="1"/>
      <c r="J14" s="1"/>
      <c r="L14" s="19"/>
    </row>
    <row r="15" spans="1:12">
      <c r="A15" s="10" t="s">
        <v>16</v>
      </c>
      <c r="B15" s="10">
        <v>6000</v>
      </c>
      <c r="C15" s="18"/>
      <c r="D15" s="1"/>
      <c r="E15" s="1"/>
      <c r="F15" s="1"/>
      <c r="G15" s="1"/>
      <c r="H15" s="1"/>
      <c r="I15" s="1"/>
      <c r="J15" s="1"/>
    </row>
    <row r="16" spans="1:12">
      <c r="A16" s="23" t="s">
        <v>17</v>
      </c>
      <c r="B16" s="23">
        <v>600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41</v>
      </c>
      <c r="B17" s="23">
        <v>1180</v>
      </c>
      <c r="C17" s="18"/>
      <c r="D17" s="1"/>
      <c r="E17" s="1"/>
      <c r="F17" s="1"/>
      <c r="G17" s="1"/>
      <c r="H17" s="1"/>
      <c r="I17" s="1"/>
      <c r="J17" s="1"/>
    </row>
    <row r="18" spans="1:10">
      <c r="A18" s="23" t="s">
        <v>19</v>
      </c>
      <c r="B18" s="23">
        <v>500</v>
      </c>
      <c r="C18" s="18"/>
      <c r="D18" s="1"/>
      <c r="E18" s="1"/>
      <c r="F18" s="1"/>
      <c r="G18" s="1"/>
      <c r="H18" s="1"/>
      <c r="I18" s="1"/>
      <c r="J18" s="1"/>
    </row>
    <row r="19" spans="1:10">
      <c r="A19" s="1" t="s">
        <v>119</v>
      </c>
      <c r="B19" s="1">
        <v>10000</v>
      </c>
      <c r="C19" s="18"/>
      <c r="D19" s="1"/>
      <c r="E19" s="1"/>
      <c r="F19" s="1"/>
      <c r="G19" s="1"/>
      <c r="H19" s="1"/>
      <c r="I19" s="1"/>
      <c r="J19" s="1"/>
    </row>
    <row r="20" spans="1:10">
      <c r="A20" s="10" t="s">
        <v>20</v>
      </c>
      <c r="B20" s="10">
        <v>150</v>
      </c>
      <c r="C20" s="18" t="s">
        <v>80</v>
      </c>
      <c r="D20" s="1"/>
      <c r="E20" s="1"/>
      <c r="F20" s="1"/>
      <c r="G20" s="1"/>
      <c r="H20" s="1"/>
      <c r="I20" s="1"/>
      <c r="J20" s="1"/>
    </row>
    <row r="21" spans="1:10">
      <c r="A21" s="23" t="s">
        <v>63</v>
      </c>
      <c r="B21" s="23">
        <v>1500</v>
      </c>
      <c r="C21" s="18" t="s">
        <v>118</v>
      </c>
      <c r="D21" s="1"/>
      <c r="E21" s="1"/>
      <c r="F21" s="1"/>
      <c r="G21" s="1"/>
      <c r="H21" s="1"/>
      <c r="I21" s="1"/>
      <c r="J21" s="1"/>
    </row>
    <row r="22" spans="1:10">
      <c r="A22" s="23" t="s">
        <v>64</v>
      </c>
      <c r="B22" s="23">
        <f>1500+2400</f>
        <v>3900</v>
      </c>
      <c r="C22" s="18" t="s">
        <v>118</v>
      </c>
      <c r="D22" s="1"/>
      <c r="E22" s="1"/>
      <c r="F22" s="1"/>
      <c r="G22" s="1"/>
      <c r="H22" s="1"/>
      <c r="I22" s="1"/>
      <c r="J22" s="1"/>
    </row>
    <row r="23" spans="1:10">
      <c r="A23" s="2" t="s">
        <v>14</v>
      </c>
      <c r="B23" s="2">
        <f>SUM(B15:B22)</f>
        <v>23830</v>
      </c>
      <c r="C23" s="18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5" t="s">
        <v>22</v>
      </c>
      <c r="B25" s="6" t="s">
        <v>10</v>
      </c>
      <c r="C25" s="4" t="s">
        <v>101</v>
      </c>
      <c r="D25" s="1"/>
      <c r="E25" s="1"/>
      <c r="F25" s="1"/>
      <c r="G25" s="1"/>
      <c r="H25" s="1"/>
      <c r="I25" s="1"/>
      <c r="J25" s="1"/>
    </row>
    <row r="26" spans="1:10">
      <c r="A26" s="10" t="s">
        <v>26</v>
      </c>
      <c r="B26" s="10">
        <v>6000</v>
      </c>
      <c r="C26" s="26" t="s">
        <v>80</v>
      </c>
      <c r="D26" s="1"/>
      <c r="E26" s="1"/>
      <c r="F26" s="1"/>
      <c r="G26" s="1"/>
      <c r="H26" s="1"/>
      <c r="I26" s="1"/>
      <c r="J26" s="1"/>
    </row>
    <row r="27" spans="1:10">
      <c r="A27" s="10" t="s">
        <v>27</v>
      </c>
      <c r="B27" s="10">
        <v>1000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0">
      <c r="A28" s="1" t="s">
        <v>127</v>
      </c>
      <c r="B28" s="1">
        <v>6000</v>
      </c>
      <c r="C28" s="18" t="s">
        <v>80</v>
      </c>
      <c r="D28" s="1"/>
      <c r="E28" s="1"/>
      <c r="F28" s="1"/>
      <c r="G28" s="1"/>
      <c r="H28" s="1"/>
      <c r="I28" s="1"/>
      <c r="J28" s="1"/>
    </row>
    <row r="29" spans="1:10">
      <c r="A29" s="10" t="s">
        <v>65</v>
      </c>
      <c r="B29" s="10">
        <v>500</v>
      </c>
      <c r="C29" s="26" t="s">
        <v>118</v>
      </c>
      <c r="D29" s="1"/>
      <c r="E29" s="1"/>
      <c r="F29" s="1"/>
      <c r="G29" s="1"/>
      <c r="H29" s="1"/>
      <c r="I29" s="1"/>
      <c r="J29" s="1"/>
    </row>
    <row r="30" spans="1:10">
      <c r="A30" s="10" t="s">
        <v>24</v>
      </c>
      <c r="B30" s="31">
        <v>500</v>
      </c>
      <c r="C30" s="26" t="s">
        <v>118</v>
      </c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SUM(B26:B30)</f>
        <v>14000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D38" s="1"/>
      <c r="E38" s="1"/>
      <c r="F38" s="1"/>
      <c r="G38" s="1"/>
      <c r="H38" s="1"/>
      <c r="I38" s="1"/>
      <c r="J38" s="1"/>
    </row>
    <row r="39" spans="1:10">
      <c r="D39" s="1"/>
      <c r="E39" s="1"/>
      <c r="F39" s="1"/>
      <c r="G39" s="1"/>
      <c r="H39" s="1"/>
      <c r="I39" s="1"/>
      <c r="J39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BE485-9F92-4146-95E1-8F5F94026534}">
  <dimension ref="A2:L39"/>
  <sheetViews>
    <sheetView zoomScale="130" zoomScaleNormal="130" workbookViewId="0">
      <selection activeCell="A6" sqref="A6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34361.25+19057.5</f>
        <v>53418.75</v>
      </c>
      <c r="B6" s="13">
        <f>Tabela11014182226303438424650545862667074788286909498102106110114118122126134138142146150154158162170174178182186[ENTRADA]*3/100</f>
        <v>1602.5625</v>
      </c>
      <c r="C6" s="13">
        <f>Tabela11014182226303438424650545862667074788286909498102106110114118122126134138142146150154158162170174178182186[ENTRADA]*10/100</f>
        <v>5341.875</v>
      </c>
      <c r="D6" s="11">
        <f>Tabela11014182226303438424650545862667074788286909498102106110114118122126134138142146150154158162170174178182186[ENTRADA]-(Tabela11014182226303438424650545862667074788286909498102106110114118122126134138142146150154158162170174178182186[INSS 3%]+Tabela11014182226303438424650545862667074788286909498102106110114118122126134138142146150154158162170174178182186[DIZIMO 10%])</f>
        <v>46474.3125</v>
      </c>
      <c r="E6" s="8">
        <f>Tabela11014182226303438424650545862667074788286909498102106110114118122126134138142146150154158162170174178182186[Renda 87%]-(B12+B23+B31)</f>
        <v>2144.3125</v>
      </c>
      <c r="F6" s="11"/>
      <c r="G6" s="11"/>
      <c r="H6" s="11"/>
      <c r="I6" s="7">
        <f>B12+B23+B31</f>
        <v>44330</v>
      </c>
      <c r="J6" s="9">
        <f>Tabela11014182226303438424650545862667074788286909498102106110114118122126134138142146150154158162170174178182186[Saldo Final]+I6</f>
        <v>46474.3125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59</v>
      </c>
      <c r="B9" s="30">
        <v>1800</v>
      </c>
      <c r="C9" s="18"/>
      <c r="D9" s="1"/>
      <c r="E9" s="1"/>
      <c r="F9" s="1"/>
      <c r="G9" s="1"/>
      <c r="H9" s="1"/>
      <c r="I9" s="1"/>
      <c r="J9" s="1"/>
      <c r="L9" s="19"/>
    </row>
    <row r="10" spans="1:12">
      <c r="A10" s="4" t="s">
        <v>110</v>
      </c>
      <c r="B10" s="4">
        <v>1800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130</v>
      </c>
      <c r="B11" s="4">
        <v>2400</v>
      </c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2" t="s">
        <v>14</v>
      </c>
      <c r="B12" s="28">
        <f>SUM(B9:B11)</f>
        <v>6000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1"/>
      <c r="B13" s="29"/>
      <c r="C13" s="1"/>
      <c r="D13" s="1"/>
      <c r="E13" s="1"/>
      <c r="F13" s="1"/>
      <c r="G13" s="1"/>
      <c r="H13" s="1"/>
      <c r="I13" s="1"/>
      <c r="J13" s="1"/>
      <c r="L13" s="19"/>
    </row>
    <row r="14" spans="1:12">
      <c r="A14" s="4" t="s">
        <v>15</v>
      </c>
      <c r="B14" s="4" t="s">
        <v>10</v>
      </c>
      <c r="C14" s="27" t="s">
        <v>92</v>
      </c>
      <c r="D14" s="1"/>
      <c r="E14" s="1"/>
      <c r="F14" s="1"/>
      <c r="G14" s="1"/>
      <c r="H14" s="1"/>
      <c r="I14" s="1"/>
      <c r="J14" s="1"/>
      <c r="L14" s="19"/>
    </row>
    <row r="15" spans="1:12">
      <c r="A15" s="10" t="s">
        <v>16</v>
      </c>
      <c r="B15" s="10">
        <v>5000</v>
      </c>
      <c r="C15" s="18"/>
      <c r="D15" s="1"/>
      <c r="E15" s="1"/>
      <c r="F15" s="1"/>
      <c r="G15" s="1"/>
      <c r="H15" s="1"/>
      <c r="I15" s="1"/>
      <c r="J15" s="1"/>
    </row>
    <row r="16" spans="1:12">
      <c r="A16" s="23" t="s">
        <v>17</v>
      </c>
      <c r="B16" s="23">
        <v>600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41</v>
      </c>
      <c r="B17" s="23">
        <v>1180</v>
      </c>
      <c r="C17" s="18"/>
      <c r="D17" s="1"/>
      <c r="E17" s="1"/>
      <c r="F17" s="1"/>
      <c r="G17" s="1"/>
      <c r="H17" s="1"/>
      <c r="I17" s="1"/>
      <c r="J17" s="1"/>
    </row>
    <row r="18" spans="1:10">
      <c r="A18" s="23" t="s">
        <v>19</v>
      </c>
      <c r="B18" s="23">
        <v>500</v>
      </c>
      <c r="C18" s="18"/>
      <c r="D18" s="1"/>
      <c r="E18" s="1"/>
      <c r="F18" s="1"/>
      <c r="G18" s="1"/>
      <c r="H18" s="1"/>
      <c r="I18" s="1"/>
      <c r="J18" s="1"/>
    </row>
    <row r="19" spans="1:10">
      <c r="A19" s="1" t="s">
        <v>119</v>
      </c>
      <c r="B19" s="1">
        <v>15500</v>
      </c>
      <c r="C19" s="18"/>
      <c r="D19" s="1"/>
      <c r="E19" s="1"/>
      <c r="F19" s="1"/>
      <c r="G19" s="1"/>
      <c r="H19" s="1"/>
      <c r="I19" s="1"/>
      <c r="J19" s="1"/>
    </row>
    <row r="20" spans="1:10">
      <c r="A20" s="10" t="s">
        <v>20</v>
      </c>
      <c r="B20" s="10">
        <v>150</v>
      </c>
      <c r="C20" s="18" t="s">
        <v>80</v>
      </c>
      <c r="D20" s="1"/>
      <c r="E20" s="1"/>
      <c r="F20" s="1"/>
      <c r="G20" s="1"/>
      <c r="H20" s="1"/>
      <c r="I20" s="1"/>
      <c r="J20" s="1"/>
    </row>
    <row r="21" spans="1:10">
      <c r="A21" s="23" t="s">
        <v>63</v>
      </c>
      <c r="B21" s="23">
        <v>500</v>
      </c>
      <c r="C21" s="18" t="s">
        <v>118</v>
      </c>
      <c r="D21" s="1"/>
      <c r="E21" s="1"/>
      <c r="F21" s="1"/>
      <c r="G21" s="1"/>
      <c r="H21" s="1"/>
      <c r="I21" s="1"/>
      <c r="J21" s="1"/>
    </row>
    <row r="22" spans="1:10">
      <c r="A22" s="23" t="s">
        <v>64</v>
      </c>
      <c r="B22" s="23">
        <f>1500+2400</f>
        <v>3900</v>
      </c>
      <c r="C22" s="18" t="s">
        <v>118</v>
      </c>
      <c r="D22" s="1"/>
      <c r="E22" s="1"/>
      <c r="F22" s="1"/>
      <c r="G22" s="1"/>
      <c r="H22" s="1"/>
      <c r="I22" s="1"/>
      <c r="J22" s="1"/>
    </row>
    <row r="23" spans="1:10">
      <c r="A23" s="2" t="s">
        <v>14</v>
      </c>
      <c r="B23" s="2">
        <f>SUM(B15:B22)</f>
        <v>27330</v>
      </c>
      <c r="C23" s="18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5" t="s">
        <v>22</v>
      </c>
      <c r="B25" s="6" t="s">
        <v>10</v>
      </c>
      <c r="C25" s="4" t="s">
        <v>101</v>
      </c>
      <c r="D25" s="1"/>
      <c r="E25" s="1"/>
      <c r="F25" s="1"/>
      <c r="G25" s="1"/>
      <c r="H25" s="1"/>
      <c r="I25" s="1"/>
      <c r="J25" s="1"/>
    </row>
    <row r="26" spans="1:10">
      <c r="A26" s="10" t="s">
        <v>26</v>
      </c>
      <c r="B26" s="10">
        <v>4000</v>
      </c>
      <c r="C26" s="26" t="s">
        <v>80</v>
      </c>
      <c r="D26" s="1"/>
      <c r="E26" s="1"/>
      <c r="F26" s="1"/>
      <c r="G26" s="1"/>
      <c r="H26" s="1"/>
      <c r="I26" s="1"/>
      <c r="J26" s="1"/>
    </row>
    <row r="27" spans="1:10">
      <c r="A27" s="10" t="s">
        <v>27</v>
      </c>
      <c r="B27" s="10">
        <v>1000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0">
      <c r="A28" s="1" t="s">
        <v>127</v>
      </c>
      <c r="B28" s="1">
        <v>6000</v>
      </c>
      <c r="C28" s="18" t="s">
        <v>80</v>
      </c>
      <c r="D28" s="1"/>
      <c r="E28" s="1"/>
      <c r="F28" s="1"/>
      <c r="G28" s="1"/>
      <c r="H28" s="1"/>
      <c r="I28" s="1"/>
      <c r="J28" s="1"/>
    </row>
    <row r="29" spans="1:10">
      <c r="A29" s="10" t="s">
        <v>65</v>
      </c>
      <c r="B29" s="10">
        <v>0</v>
      </c>
      <c r="C29" s="26" t="s">
        <v>118</v>
      </c>
      <c r="D29" s="1"/>
      <c r="E29" s="1"/>
      <c r="F29" s="1"/>
      <c r="G29" s="1"/>
      <c r="H29" s="1"/>
      <c r="I29" s="1"/>
      <c r="J29" s="1"/>
    </row>
    <row r="30" spans="1:10">
      <c r="A30" s="10" t="s">
        <v>24</v>
      </c>
      <c r="B30" s="31">
        <v>0</v>
      </c>
      <c r="C30" s="26" t="s">
        <v>118</v>
      </c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SUM(B26:B30)</f>
        <v>11000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D38" s="1"/>
      <c r="E38" s="1"/>
      <c r="F38" s="1"/>
      <c r="G38" s="1"/>
      <c r="H38" s="1"/>
      <c r="I38" s="1"/>
      <c r="J38" s="1"/>
    </row>
    <row r="39" spans="1:10">
      <c r="D39" s="1"/>
      <c r="E39" s="1"/>
      <c r="F39" s="1"/>
      <c r="G39" s="1"/>
      <c r="H39" s="1"/>
      <c r="I39" s="1"/>
      <c r="J39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C2C42-01A1-4B4A-85AA-D36D213CE43F}">
  <dimension ref="A2:L38"/>
  <sheetViews>
    <sheetView zoomScale="130" zoomScaleNormal="130" workbookViewId="0">
      <selection activeCell="J30" sqref="J30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2">
      <c r="A6" s="13" t="e" cm="1" vm="1">
        <f t="array" aca="1" ref="A6" ca="1">A7:H30</f>
        <v>#VALUE!</v>
      </c>
      <c r="B6" s="13" t="e" vm="2">
        <f ca="1">Tabela11014182226303438424650545862667074788286909498102106110114118122126134138142146150154158162170174178182186190[ENTRADA]*3/100</f>
        <v>#VALUE!</v>
      </c>
      <c r="C6" s="13" t="e" vm="2">
        <f ca="1">Tabela11014182226303438424650545862667074788286909498102106110114118122126134138142146150154158162170174178182186190[ENTRADA]*10/100</f>
        <v>#VALUE!</v>
      </c>
      <c r="D6" s="11" t="e" vm="2">
        <f ca="1">Tabela11014182226303438424650545862667074788286909498102106110114118122126134138142146150154158162170174178182186190[ENTRADA]-(Tabela11014182226303438424650545862667074788286909498102106110114118122126134138142146150154158162170174178182186190[INSS 3%]+Tabela11014182226303438424650545862667074788286909498102106110114118122126134138142146150154158162170174178182186190[DIZIMO 10%])</f>
        <v>#VALUE!</v>
      </c>
      <c r="E6" s="8" t="e" vm="2">
        <f ca="1">Tabela11014182226303438424650545862667074788286909498102106110114118122126134138142146150154158162170174178182186190[Renda 87%]-(B12+B22+B30)</f>
        <v>#VALUE!</v>
      </c>
      <c r="F6" s="11"/>
      <c r="G6" s="11"/>
      <c r="H6" s="11"/>
      <c r="I6" s="7">
        <f>B12+B22+B30</f>
        <v>37280</v>
      </c>
      <c r="J6" s="9" t="e" vm="2">
        <f ca="1">Tabela11014182226303438424650545862667074788286909498102106110114118122126134138142146150154158162170174178182186190[Saldo Final]+I6</f>
        <v>#VALUE!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59</v>
      </c>
      <c r="B9" s="30">
        <v>2500</v>
      </c>
      <c r="C9" s="18"/>
      <c r="D9" s="1"/>
      <c r="E9" s="1"/>
      <c r="F9" s="1"/>
      <c r="G9" s="1"/>
      <c r="H9" s="1"/>
      <c r="I9" s="1"/>
      <c r="J9" s="1"/>
      <c r="L9" s="19"/>
    </row>
    <row r="10" spans="1:12">
      <c r="A10" s="4" t="s">
        <v>102</v>
      </c>
      <c r="B10" s="4">
        <v>1500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4"/>
      <c r="B11" s="4"/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2" t="s">
        <v>14</v>
      </c>
      <c r="B12" s="28">
        <f>SUM(B9:B11)</f>
        <v>4000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1"/>
      <c r="B13" s="29"/>
      <c r="C13" s="1"/>
      <c r="D13" s="1"/>
      <c r="E13" s="1"/>
      <c r="F13" s="1"/>
      <c r="G13" s="1"/>
      <c r="H13" s="1"/>
      <c r="I13" s="1"/>
      <c r="J13" s="1"/>
      <c r="L13" s="19"/>
    </row>
    <row r="14" spans="1:12">
      <c r="A14" s="4" t="s">
        <v>15</v>
      </c>
      <c r="B14" s="4" t="s">
        <v>10</v>
      </c>
      <c r="C14" s="27" t="s">
        <v>92</v>
      </c>
      <c r="D14" s="1"/>
      <c r="E14" s="1"/>
      <c r="F14" s="1"/>
      <c r="G14" s="1"/>
      <c r="H14" s="1"/>
      <c r="I14" s="1"/>
      <c r="J14" s="1"/>
      <c r="L14" s="19"/>
    </row>
    <row r="15" spans="1:12">
      <c r="A15" s="10" t="s">
        <v>16</v>
      </c>
      <c r="B15" s="10">
        <v>5000</v>
      </c>
      <c r="C15" s="18"/>
      <c r="D15" s="1"/>
      <c r="E15" s="1"/>
      <c r="F15" s="1"/>
      <c r="G15" s="1"/>
      <c r="H15" s="1"/>
      <c r="I15" s="1"/>
      <c r="J15" s="1"/>
    </row>
    <row r="16" spans="1:12">
      <c r="A16" s="23" t="s">
        <v>17</v>
      </c>
      <c r="B16" s="23">
        <v>600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41</v>
      </c>
      <c r="B17" s="23">
        <v>1180</v>
      </c>
      <c r="C17" s="18"/>
      <c r="D17" s="1"/>
      <c r="E17" s="1"/>
      <c r="F17" s="1"/>
      <c r="G17" s="1"/>
      <c r="H17" s="1"/>
      <c r="I17" s="1"/>
      <c r="J17" s="1"/>
    </row>
    <row r="18" spans="1:10">
      <c r="A18" s="23" t="s">
        <v>19</v>
      </c>
      <c r="B18" s="23">
        <v>500</v>
      </c>
      <c r="C18" s="18"/>
      <c r="D18" s="1"/>
      <c r="E18" s="1"/>
      <c r="F18" s="1"/>
      <c r="G18" s="1"/>
      <c r="H18" s="1"/>
      <c r="I18" s="1"/>
      <c r="J18" s="1"/>
    </row>
    <row r="19" spans="1:10">
      <c r="A19" s="10" t="s">
        <v>20</v>
      </c>
      <c r="B19" s="10">
        <v>600</v>
      </c>
      <c r="C19" s="18" t="s">
        <v>80</v>
      </c>
      <c r="D19" s="1"/>
      <c r="E19" s="1"/>
      <c r="F19" s="1"/>
      <c r="G19" s="1"/>
      <c r="H19" s="1"/>
      <c r="I19" s="1"/>
      <c r="J19" s="1"/>
    </row>
    <row r="20" spans="1:10">
      <c r="A20" s="23" t="s">
        <v>63</v>
      </c>
      <c r="B20" s="23">
        <v>1500</v>
      </c>
      <c r="C20" s="18"/>
      <c r="D20" s="1"/>
      <c r="E20" s="1"/>
      <c r="F20" s="1"/>
      <c r="G20" s="1"/>
      <c r="H20" s="1"/>
      <c r="I20" s="1"/>
      <c r="J20" s="1"/>
    </row>
    <row r="21" spans="1:10">
      <c r="A21" s="23" t="s">
        <v>64</v>
      </c>
      <c r="B21" s="23">
        <f>1500+2400</f>
        <v>3900</v>
      </c>
      <c r="C21" s="18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SUM(B15:B21)</f>
        <v>13280</v>
      </c>
      <c r="C22" s="18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4" t="s">
        <v>101</v>
      </c>
      <c r="D24" s="1"/>
      <c r="E24" s="1"/>
      <c r="F24" s="1"/>
      <c r="G24" s="1"/>
      <c r="H24" s="1"/>
      <c r="I24" s="1"/>
      <c r="J24" s="1"/>
    </row>
    <row r="25" spans="1:10">
      <c r="A25" s="10" t="s">
        <v>26</v>
      </c>
      <c r="B25" s="10">
        <v>6000</v>
      </c>
      <c r="C25" s="26" t="s">
        <v>80</v>
      </c>
      <c r="D25" s="1"/>
      <c r="E25" s="1"/>
      <c r="F25" s="1"/>
      <c r="G25" s="1"/>
      <c r="H25" s="1"/>
      <c r="I25" s="1"/>
      <c r="J25" s="1"/>
    </row>
    <row r="26" spans="1:10">
      <c r="A26" s="10" t="s">
        <v>27</v>
      </c>
      <c r="B26" s="10">
        <v>1000</v>
      </c>
      <c r="C26" s="26" t="s">
        <v>80</v>
      </c>
      <c r="D26" s="1"/>
      <c r="E26" s="1"/>
      <c r="F26" s="1"/>
      <c r="G26" s="1"/>
      <c r="H26" s="1"/>
      <c r="I26" s="1"/>
      <c r="J26" s="1"/>
    </row>
    <row r="27" spans="1:10">
      <c r="A27" s="1" t="s">
        <v>127</v>
      </c>
      <c r="B27" s="1">
        <v>12000</v>
      </c>
      <c r="C27" s="18" t="s">
        <v>80</v>
      </c>
      <c r="D27" s="1"/>
      <c r="E27" s="1"/>
      <c r="F27" s="1"/>
      <c r="G27" s="1"/>
      <c r="H27" s="1"/>
      <c r="I27" s="1"/>
      <c r="J27" s="1"/>
    </row>
    <row r="28" spans="1:10">
      <c r="A28" s="10" t="s">
        <v>65</v>
      </c>
      <c r="B28" s="10">
        <v>500</v>
      </c>
      <c r="C28" s="26" t="s">
        <v>118</v>
      </c>
      <c r="D28" s="1"/>
      <c r="E28" s="1"/>
      <c r="F28" s="1"/>
      <c r="G28" s="1"/>
      <c r="H28" s="1"/>
      <c r="I28" s="1"/>
      <c r="J28" s="1"/>
    </row>
    <row r="29" spans="1:10">
      <c r="A29" s="10" t="s">
        <v>24</v>
      </c>
      <c r="B29" s="31">
        <v>500</v>
      </c>
      <c r="C29" s="26" t="s">
        <v>118</v>
      </c>
      <c r="D29" s="1"/>
      <c r="E29" s="1"/>
      <c r="F29" s="1"/>
      <c r="G29" s="1"/>
      <c r="H29" s="1"/>
      <c r="I29" s="1"/>
      <c r="J29" s="1"/>
    </row>
    <row r="30" spans="1:10">
      <c r="A30" s="2" t="s">
        <v>14</v>
      </c>
      <c r="B30" s="2">
        <f>SUM(B25:B29)</f>
        <v>20000</v>
      </c>
      <c r="C30" s="18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D37" s="1"/>
      <c r="E37" s="1"/>
      <c r="F37" s="1"/>
      <c r="G37" s="1"/>
      <c r="H37" s="1"/>
      <c r="I37" s="1"/>
      <c r="J37" s="1"/>
    </row>
    <row r="38" spans="1:10">
      <c r="D38" s="1"/>
      <c r="E38" s="1"/>
      <c r="F38" s="1"/>
      <c r="G38" s="1"/>
      <c r="H38" s="1"/>
      <c r="I38" s="1"/>
      <c r="J38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D7F0-43E5-4B85-B2CE-4F16B5082721}">
  <dimension ref="A2:L38"/>
  <sheetViews>
    <sheetView zoomScale="130" zoomScaleNormal="130" workbookViewId="0">
      <selection activeCell="P24" sqref="P24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34361.25+19057.5</f>
        <v>53418.75</v>
      </c>
      <c r="B6" s="13">
        <f>Tabela11014182226303438424650545862667074788286909498102106110114118122126134138142146150154158162170174178182186190194[ENTRADA]*3/100</f>
        <v>1602.5625</v>
      </c>
      <c r="C6" s="13">
        <f>Tabela11014182226303438424650545862667074788286909498102106110114118122126134138142146150154158162170174178182186190194[ENTRADA]*10/100</f>
        <v>5341.875</v>
      </c>
      <c r="D6" s="11">
        <f>Tabela11014182226303438424650545862667074788286909498102106110114118122126134138142146150154158162170174178182186190194[ENTRADA]-(Tabela11014182226303438424650545862667074788286909498102106110114118122126134138142146150154158162170174178182186190194[INSS 3%]+Tabela11014182226303438424650545862667074788286909498102106110114118122126134138142146150154158162170174178182186190194[DIZIMO 10%])</f>
        <v>46474.3125</v>
      </c>
      <c r="E6" s="8">
        <f>Tabela11014182226303438424650545862667074788286909498102106110114118122126134138142146150154158162170174178182186190194[Renda 87%]-(B12+B22+B30)</f>
        <v>15744.3125</v>
      </c>
      <c r="F6" s="11"/>
      <c r="G6" s="11"/>
      <c r="H6" s="11"/>
      <c r="I6" s="7">
        <f>B12+B22+B30</f>
        <v>30730</v>
      </c>
      <c r="J6" s="9">
        <f>Tabela11014182226303438424650545862667074788286909498102106110114118122126134138142146150154158162170174178182186190194[Saldo Final]+I6</f>
        <v>46474.3125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59</v>
      </c>
      <c r="B9" s="30">
        <v>1500</v>
      </c>
      <c r="C9" s="18"/>
      <c r="D9" s="1"/>
      <c r="E9" s="1"/>
      <c r="F9" s="1"/>
      <c r="G9" s="1"/>
      <c r="H9" s="1"/>
      <c r="I9" s="1"/>
      <c r="J9" s="1"/>
      <c r="L9" s="19"/>
    </row>
    <row r="10" spans="1:12">
      <c r="A10" s="4" t="s">
        <v>97</v>
      </c>
      <c r="B10" s="4">
        <v>1750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44</v>
      </c>
      <c r="B11" s="4">
        <v>3000</v>
      </c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2" t="s">
        <v>14</v>
      </c>
      <c r="B12" s="28">
        <f>SUM(B9:B11)</f>
        <v>6250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1"/>
      <c r="B13" s="29"/>
      <c r="C13" s="1"/>
      <c r="D13" s="1"/>
      <c r="E13" s="1"/>
      <c r="F13" s="1"/>
      <c r="G13" s="1"/>
      <c r="H13" s="1"/>
      <c r="I13" s="1"/>
      <c r="J13" s="1"/>
      <c r="L13" s="19"/>
    </row>
    <row r="14" spans="1:12">
      <c r="A14" s="4" t="s">
        <v>15</v>
      </c>
      <c r="B14" s="4" t="s">
        <v>10</v>
      </c>
      <c r="C14" s="27" t="s">
        <v>92</v>
      </c>
      <c r="D14" s="1"/>
      <c r="E14" s="1"/>
      <c r="F14" s="1"/>
      <c r="G14" s="1"/>
      <c r="H14" s="1"/>
      <c r="I14" s="1"/>
      <c r="J14" s="1"/>
      <c r="L14" s="19"/>
    </row>
    <row r="15" spans="1:12">
      <c r="A15" s="10" t="s">
        <v>16</v>
      </c>
      <c r="B15" s="10">
        <v>5000</v>
      </c>
      <c r="C15" s="18"/>
      <c r="D15" s="1"/>
      <c r="E15" s="1"/>
      <c r="F15" s="1"/>
      <c r="G15" s="1"/>
      <c r="H15" s="1"/>
      <c r="I15" s="1"/>
      <c r="J15" s="1"/>
    </row>
    <row r="16" spans="1:12">
      <c r="A16" s="23" t="s">
        <v>17</v>
      </c>
      <c r="B16" s="23">
        <v>600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41</v>
      </c>
      <c r="B17" s="23">
        <v>1180</v>
      </c>
      <c r="C17" s="18"/>
      <c r="D17" s="1"/>
      <c r="E17" s="1"/>
      <c r="F17" s="1"/>
      <c r="G17" s="1"/>
      <c r="H17" s="1"/>
      <c r="I17" s="1"/>
      <c r="J17" s="1"/>
    </row>
    <row r="18" spans="1:10">
      <c r="A18" s="23" t="s">
        <v>19</v>
      </c>
      <c r="B18" s="23">
        <v>500</v>
      </c>
      <c r="C18" s="18"/>
      <c r="D18" s="1"/>
      <c r="E18" s="1"/>
      <c r="F18" s="1"/>
      <c r="G18" s="1"/>
      <c r="H18" s="1"/>
      <c r="I18" s="1"/>
      <c r="J18" s="1"/>
    </row>
    <row r="19" spans="1:10">
      <c r="A19" s="10" t="s">
        <v>20</v>
      </c>
      <c r="B19" s="10">
        <v>200</v>
      </c>
      <c r="C19" s="18" t="s">
        <v>80</v>
      </c>
      <c r="D19" s="1"/>
      <c r="E19" s="1"/>
      <c r="F19" s="1"/>
      <c r="G19" s="1"/>
      <c r="H19" s="1"/>
      <c r="I19" s="1"/>
      <c r="J19" s="1"/>
    </row>
    <row r="20" spans="1:10">
      <c r="A20" s="23" t="s">
        <v>63</v>
      </c>
      <c r="B20" s="23">
        <v>1500</v>
      </c>
      <c r="C20" s="18"/>
      <c r="D20" s="1"/>
      <c r="E20" s="1"/>
      <c r="F20" s="1"/>
      <c r="G20" s="1"/>
      <c r="H20" s="1"/>
      <c r="I20" s="1"/>
      <c r="J20" s="1"/>
    </row>
    <row r="21" spans="1:10">
      <c r="A21" s="23" t="s">
        <v>64</v>
      </c>
      <c r="B21" s="23">
        <v>1500</v>
      </c>
      <c r="C21" s="18"/>
      <c r="D21" s="1"/>
      <c r="E21" s="1"/>
      <c r="F21" s="1"/>
      <c r="G21" s="1"/>
      <c r="H21" s="1"/>
      <c r="I21" s="1"/>
      <c r="J21" s="1"/>
    </row>
    <row r="22" spans="1:10">
      <c r="A22" s="2" t="s">
        <v>14</v>
      </c>
      <c r="B22" s="2">
        <f>SUM(B15:B21)</f>
        <v>10480</v>
      </c>
      <c r="C22" s="18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5" t="s">
        <v>22</v>
      </c>
      <c r="B24" s="6" t="s">
        <v>10</v>
      </c>
      <c r="C24" s="4" t="s">
        <v>101</v>
      </c>
      <c r="D24" s="1"/>
      <c r="E24" s="1"/>
      <c r="F24" s="1"/>
      <c r="G24" s="1"/>
      <c r="H24" s="1"/>
      <c r="I24" s="1"/>
      <c r="J24" s="1"/>
    </row>
    <row r="25" spans="1:10">
      <c r="A25" s="10" t="s">
        <v>26</v>
      </c>
      <c r="B25" s="10">
        <v>6000</v>
      </c>
      <c r="C25" s="26" t="s">
        <v>80</v>
      </c>
      <c r="D25" s="1"/>
      <c r="E25" s="1"/>
      <c r="F25" s="1"/>
      <c r="G25" s="1"/>
      <c r="H25" s="1"/>
      <c r="I25" s="1"/>
      <c r="J25" s="1"/>
    </row>
    <row r="26" spans="1:10">
      <c r="A26" s="10" t="s">
        <v>27</v>
      </c>
      <c r="B26" s="10">
        <v>1000</v>
      </c>
      <c r="C26" s="26" t="s">
        <v>80</v>
      </c>
      <c r="D26" s="1"/>
      <c r="E26" s="1"/>
      <c r="F26" s="1"/>
      <c r="G26" s="1"/>
      <c r="H26" s="1"/>
      <c r="I26" s="1"/>
      <c r="J26" s="1"/>
    </row>
    <row r="27" spans="1:10">
      <c r="A27" s="1" t="s">
        <v>127</v>
      </c>
      <c r="B27" s="1">
        <v>6000</v>
      </c>
      <c r="C27" s="18" t="s">
        <v>80</v>
      </c>
      <c r="D27" s="1"/>
      <c r="E27" s="1"/>
      <c r="F27" s="1"/>
      <c r="G27" s="1"/>
      <c r="H27" s="1"/>
      <c r="I27" s="1"/>
      <c r="J27" s="1"/>
    </row>
    <row r="28" spans="1:10">
      <c r="A28" s="10" t="s">
        <v>65</v>
      </c>
      <c r="B28" s="10">
        <v>500</v>
      </c>
      <c r="C28" s="26" t="s">
        <v>118</v>
      </c>
      <c r="D28" s="1"/>
      <c r="E28" s="1"/>
      <c r="F28" s="1"/>
      <c r="G28" s="1"/>
      <c r="H28" s="1"/>
      <c r="I28" s="1"/>
      <c r="J28" s="1"/>
    </row>
    <row r="29" spans="1:10">
      <c r="A29" s="10" t="s">
        <v>24</v>
      </c>
      <c r="B29" s="31">
        <v>500</v>
      </c>
      <c r="C29" s="26" t="s">
        <v>118</v>
      </c>
      <c r="D29" s="1"/>
      <c r="E29" s="1"/>
      <c r="F29" s="1"/>
      <c r="G29" s="1"/>
      <c r="H29" s="1"/>
      <c r="I29" s="1"/>
      <c r="J29" s="1"/>
    </row>
    <row r="30" spans="1:10">
      <c r="A30" s="2" t="s">
        <v>14</v>
      </c>
      <c r="B30" s="2">
        <f>SUM(B25:B29)</f>
        <v>14000</v>
      </c>
      <c r="C30" s="18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D37" s="1"/>
      <c r="E37" s="1"/>
      <c r="F37" s="1"/>
      <c r="G37" s="1"/>
      <c r="H37" s="1"/>
      <c r="I37" s="1"/>
      <c r="J37" s="1"/>
    </row>
    <row r="38" spans="1:10">
      <c r="D38" s="1"/>
      <c r="E38" s="1"/>
      <c r="F38" s="1"/>
      <c r="G38" s="1"/>
      <c r="H38" s="1"/>
      <c r="I38" s="1"/>
      <c r="J38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334A8-D076-4ED6-A4A8-647E71F08A2F}">
  <dimension ref="A2:L39"/>
  <sheetViews>
    <sheetView zoomScale="130" zoomScaleNormal="130" workbookViewId="0">
      <selection activeCell="B17" sqref="B17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34361.25+19057.5</f>
        <v>53418.75</v>
      </c>
      <c r="B6" s="13">
        <f>Tabela11014182226303438424650545862667074788286909498102106110114118122126134138142146150154158162170174178182186190194198[ENTRADA]*3/100</f>
        <v>1602.5625</v>
      </c>
      <c r="C6" s="13">
        <f>Tabela11014182226303438424650545862667074788286909498102106110114118122126134138142146150154158162170174178182186190194198[ENTRADA]*10/100</f>
        <v>5341.875</v>
      </c>
      <c r="D6" s="11">
        <f>Tabela11014182226303438424650545862667074788286909498102106110114118122126134138142146150154158162170174178182186190194198[ENTRADA]-(Tabela11014182226303438424650545862667074788286909498102106110114118122126134138142146150154158162170174178182186190194198[INSS 3%]+Tabela11014182226303438424650545862667074788286909498102106110114118122126134138142146150154158162170174178182186190194198[DIZIMO 10%])</f>
        <v>46474.3125</v>
      </c>
      <c r="E6" s="8">
        <f>Tabela11014182226303438424650545862667074788286909498102106110114118122126134138142146150154158162170174178182186190194198[Renda 87%]-(B13+B23+B31)</f>
        <v>764.3125</v>
      </c>
      <c r="F6" s="11"/>
      <c r="G6" s="11"/>
      <c r="H6" s="11"/>
      <c r="I6" s="7">
        <f>B13+B23+B31</f>
        <v>45710</v>
      </c>
      <c r="J6" s="9">
        <f>Tabela11014182226303438424650545862667074788286909498102106110114118122126134138142146150154158162170174178182186190194198[Saldo Final]+I6</f>
        <v>46474.3125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59</v>
      </c>
      <c r="B9" s="30">
        <v>1000</v>
      </c>
      <c r="C9" s="18"/>
      <c r="D9" s="1"/>
      <c r="E9" s="1"/>
      <c r="F9" s="1"/>
      <c r="G9" s="1"/>
      <c r="H9" s="1"/>
      <c r="I9" s="1"/>
      <c r="J9" s="1"/>
      <c r="L9" s="19"/>
    </row>
    <row r="10" spans="1:12">
      <c r="A10" s="4" t="s">
        <v>97</v>
      </c>
      <c r="B10" s="4">
        <v>6750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102</v>
      </c>
      <c r="B11" s="4">
        <v>5000</v>
      </c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4" t="s">
        <v>44</v>
      </c>
      <c r="B12" s="32"/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2" t="s">
        <v>14</v>
      </c>
      <c r="B13" s="28">
        <f>SUM(B9:B12)</f>
        <v>12750</v>
      </c>
      <c r="C13" s="18"/>
      <c r="D13" s="1"/>
      <c r="E13" s="1"/>
      <c r="F13" s="1"/>
      <c r="G13" s="1"/>
      <c r="H13" s="1"/>
      <c r="I13" s="1"/>
      <c r="J13" s="1"/>
      <c r="L13" s="19"/>
    </row>
    <row r="14" spans="1:12">
      <c r="A14" s="1"/>
      <c r="B14" s="29"/>
      <c r="C14" s="1"/>
      <c r="D14" s="1"/>
      <c r="E14" s="1"/>
      <c r="F14" s="1"/>
      <c r="G14" s="1"/>
      <c r="H14" s="1"/>
      <c r="I14" s="1"/>
      <c r="J14" s="1"/>
      <c r="L14" s="19"/>
    </row>
    <row r="15" spans="1:12">
      <c r="A15" s="4" t="s">
        <v>15</v>
      </c>
      <c r="B15" s="4" t="s">
        <v>10</v>
      </c>
      <c r="C15" s="27" t="s">
        <v>92</v>
      </c>
      <c r="D15" s="1"/>
      <c r="E15" s="1"/>
      <c r="F15" s="1"/>
      <c r="G15" s="1"/>
      <c r="H15" s="1"/>
      <c r="I15" s="1"/>
      <c r="J15" s="1"/>
      <c r="L15" s="19"/>
    </row>
    <row r="16" spans="1:12">
      <c r="A16" s="10" t="s">
        <v>16</v>
      </c>
      <c r="B16" s="10">
        <v>5000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17</v>
      </c>
      <c r="B17" s="33"/>
      <c r="C17" s="18"/>
      <c r="D17" s="1"/>
      <c r="E17" s="1"/>
      <c r="F17" s="1"/>
      <c r="G17" s="1"/>
      <c r="H17" s="1"/>
      <c r="I17" s="1"/>
      <c r="J17" s="1"/>
    </row>
    <row r="18" spans="1:10">
      <c r="A18" s="23" t="s">
        <v>41</v>
      </c>
      <c r="B18" s="23">
        <v>1180</v>
      </c>
      <c r="C18" s="18"/>
      <c r="D18" s="1"/>
      <c r="E18" s="1"/>
      <c r="F18" s="1"/>
      <c r="G18" s="1"/>
      <c r="H18" s="1"/>
      <c r="I18" s="1"/>
      <c r="J18" s="1"/>
    </row>
    <row r="19" spans="1:10">
      <c r="A19" s="23" t="s">
        <v>19</v>
      </c>
      <c r="B19" s="23">
        <v>500</v>
      </c>
      <c r="C19" s="18"/>
      <c r="D19" s="1"/>
      <c r="E19" s="1"/>
      <c r="F19" s="1"/>
      <c r="G19" s="1"/>
      <c r="H19" s="1"/>
      <c r="I19" s="1"/>
      <c r="J19" s="1"/>
    </row>
    <row r="20" spans="1:10">
      <c r="A20" s="10" t="s">
        <v>20</v>
      </c>
      <c r="B20" s="10">
        <v>200</v>
      </c>
      <c r="C20" s="18" t="s">
        <v>80</v>
      </c>
      <c r="D20" s="1"/>
      <c r="E20" s="1"/>
      <c r="F20" s="1"/>
      <c r="G20" s="1"/>
      <c r="H20" s="1"/>
      <c r="I20" s="1"/>
      <c r="J20" s="1"/>
    </row>
    <row r="21" spans="1:10">
      <c r="A21" s="23" t="s">
        <v>63</v>
      </c>
      <c r="B21" s="23">
        <v>1500</v>
      </c>
      <c r="C21" s="18"/>
      <c r="D21" s="1"/>
      <c r="E21" s="1"/>
      <c r="F21" s="1"/>
      <c r="G21" s="1"/>
      <c r="H21" s="1"/>
      <c r="I21" s="1"/>
      <c r="J21" s="1"/>
    </row>
    <row r="22" spans="1:10">
      <c r="A22" s="23" t="s">
        <v>64</v>
      </c>
      <c r="B22" s="23">
        <v>6540</v>
      </c>
      <c r="C22" s="18"/>
      <c r="D22" s="1"/>
      <c r="E22" s="1"/>
      <c r="F22" s="1"/>
      <c r="G22" s="1"/>
      <c r="H22" s="1"/>
      <c r="I22" s="1"/>
      <c r="J22" s="1"/>
    </row>
    <row r="23" spans="1:10">
      <c r="A23" s="2" t="s">
        <v>14</v>
      </c>
      <c r="B23" s="2">
        <f>SUM(B16:B22)</f>
        <v>14920</v>
      </c>
      <c r="C23" s="18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5" t="s">
        <v>22</v>
      </c>
      <c r="B25" s="6" t="s">
        <v>10</v>
      </c>
      <c r="C25" s="4" t="s">
        <v>101</v>
      </c>
      <c r="D25" s="1"/>
      <c r="E25" s="1"/>
      <c r="F25" s="1"/>
      <c r="G25" s="1"/>
      <c r="H25" s="1"/>
      <c r="I25" s="1"/>
      <c r="J25" s="1"/>
    </row>
    <row r="26" spans="1:10">
      <c r="A26" s="10" t="s">
        <v>26</v>
      </c>
      <c r="B26" s="10">
        <v>6000</v>
      </c>
      <c r="C26" s="26" t="s">
        <v>80</v>
      </c>
      <c r="D26" s="1"/>
      <c r="E26" s="1"/>
      <c r="F26" s="1"/>
      <c r="G26" s="1"/>
      <c r="H26" s="1"/>
      <c r="I26" s="1"/>
      <c r="J26" s="1"/>
    </row>
    <row r="27" spans="1:10">
      <c r="A27" s="10" t="s">
        <v>27</v>
      </c>
      <c r="B27" s="10">
        <v>5040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0">
      <c r="A28" s="1" t="s">
        <v>127</v>
      </c>
      <c r="B28" s="1">
        <v>6000</v>
      </c>
      <c r="C28" s="18" t="s">
        <v>80</v>
      </c>
      <c r="D28" s="1"/>
      <c r="E28" s="1"/>
      <c r="F28" s="1"/>
      <c r="G28" s="1"/>
      <c r="H28" s="1"/>
      <c r="I28" s="1"/>
      <c r="J28" s="1"/>
    </row>
    <row r="29" spans="1:10">
      <c r="A29" s="10" t="s">
        <v>65</v>
      </c>
      <c r="B29" s="10">
        <v>500</v>
      </c>
      <c r="C29" s="26" t="s">
        <v>118</v>
      </c>
      <c r="D29" s="1"/>
      <c r="E29" s="1"/>
      <c r="F29" s="1"/>
      <c r="G29" s="1"/>
      <c r="H29" s="1"/>
      <c r="I29" s="1"/>
      <c r="J29" s="1"/>
    </row>
    <row r="30" spans="1:10">
      <c r="A30" s="10" t="s">
        <v>24</v>
      </c>
      <c r="B30" s="31">
        <v>500</v>
      </c>
      <c r="C30" s="26" t="s">
        <v>118</v>
      </c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SUM(B26:B30)</f>
        <v>18040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D38" s="1"/>
      <c r="E38" s="1"/>
      <c r="F38" s="1"/>
      <c r="G38" s="1"/>
      <c r="H38" s="1"/>
      <c r="I38" s="1"/>
      <c r="J38" s="1"/>
    </row>
    <row r="39" spans="1:10">
      <c r="D39" s="1"/>
      <c r="E39" s="1"/>
      <c r="F39" s="1"/>
      <c r="G39" s="1"/>
      <c r="H39" s="1"/>
      <c r="I39" s="1"/>
      <c r="J39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A4B5-19C1-4393-927D-A984F4F1FD8A}">
  <dimension ref="A2:L39"/>
  <sheetViews>
    <sheetView topLeftCell="A8" zoomScale="130" zoomScaleNormal="130" workbookViewId="0">
      <selection activeCell="E25" sqref="E25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34361.25+19057.5</f>
        <v>53418.75</v>
      </c>
      <c r="B6" s="13">
        <f>Tabela11014182226303438424650545862667074788286909498102106110114118122126134138142146150154158162170174178182186190194198202[ENTRADA]*3/100</f>
        <v>1602.5625</v>
      </c>
      <c r="C6" s="13">
        <f>Tabela11014182226303438424650545862667074788286909498102106110114118122126134138142146150154158162170174178182186190194198202[ENTRADA]*10/100</f>
        <v>5341.875</v>
      </c>
      <c r="D6" s="11">
        <f>Tabela11014182226303438424650545862667074788286909498102106110114118122126134138142146150154158162170174178182186190194198202[ENTRADA]-(Tabela11014182226303438424650545862667074788286909498102106110114118122126134138142146150154158162170174178182186190194198202[INSS 3%]+Tabela11014182226303438424650545862667074788286909498102106110114118122126134138142146150154158162170174178182186190194198202[DIZIMO 10%])</f>
        <v>46474.3125</v>
      </c>
      <c r="E6" s="8">
        <f>Tabela11014182226303438424650545862667074788286909498102106110114118122126134138142146150154158162170174178182186190194198202[Renda 87%]-(B13+B23+B31)</f>
        <v>6294.3125</v>
      </c>
      <c r="F6" s="11"/>
      <c r="G6" s="11"/>
      <c r="H6" s="11"/>
      <c r="I6" s="7">
        <f>B13+B23+B31</f>
        <v>40180</v>
      </c>
      <c r="J6" s="9">
        <f>Tabela11014182226303438424650545862667074788286909498102106110114118122126134138142146150154158162170174178182186190194198202[Saldo Final]+I6</f>
        <v>46474.3125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59</v>
      </c>
      <c r="B9" s="30">
        <v>1000</v>
      </c>
      <c r="C9" s="18" t="s">
        <v>134</v>
      </c>
      <c r="D9" s="1"/>
      <c r="E9" s="1"/>
      <c r="F9" s="1"/>
      <c r="G9" s="1"/>
      <c r="H9" s="1"/>
      <c r="I9" s="1"/>
      <c r="J9" s="1"/>
      <c r="L9" s="19"/>
    </row>
    <row r="10" spans="1:12">
      <c r="A10" s="4" t="s">
        <v>99</v>
      </c>
      <c r="B10" s="4">
        <v>6000</v>
      </c>
      <c r="C10" s="18" t="s">
        <v>134</v>
      </c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135</v>
      </c>
      <c r="B11" s="4">
        <v>2500</v>
      </c>
      <c r="C11" s="18" t="s">
        <v>134</v>
      </c>
      <c r="D11" s="1"/>
      <c r="E11" s="1"/>
      <c r="F11" s="1"/>
      <c r="G11" s="1"/>
      <c r="H11" s="1"/>
      <c r="I11" s="1"/>
      <c r="J11" s="1"/>
      <c r="L11" s="19"/>
    </row>
    <row r="12" spans="1:12">
      <c r="A12" s="4" t="s">
        <v>44</v>
      </c>
      <c r="B12" s="17">
        <v>1500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2" t="s">
        <v>14</v>
      </c>
      <c r="B13" s="28">
        <f>SUM(B9:B12)</f>
        <v>11000</v>
      </c>
      <c r="C13" s="18"/>
      <c r="D13" s="1"/>
      <c r="E13" s="1"/>
      <c r="F13" s="1"/>
      <c r="G13" s="1"/>
      <c r="H13" s="1"/>
      <c r="I13" s="1"/>
      <c r="J13" s="1"/>
      <c r="L13" s="19"/>
    </row>
    <row r="14" spans="1:12">
      <c r="A14" s="1"/>
      <c r="B14" s="29"/>
      <c r="C14" s="1"/>
      <c r="D14" s="1"/>
      <c r="E14" s="1"/>
      <c r="F14" s="1"/>
      <c r="G14" s="1"/>
      <c r="H14" s="1"/>
      <c r="I14" s="1"/>
      <c r="J14" s="1"/>
      <c r="L14" s="19"/>
    </row>
    <row r="15" spans="1:12">
      <c r="A15" s="4" t="s">
        <v>15</v>
      </c>
      <c r="B15" s="4" t="s">
        <v>10</v>
      </c>
      <c r="C15" s="27" t="s">
        <v>92</v>
      </c>
      <c r="D15" s="1"/>
      <c r="E15" s="1"/>
      <c r="F15" s="1"/>
      <c r="G15" s="1"/>
      <c r="H15" s="1"/>
      <c r="I15" s="1"/>
      <c r="J15" s="1"/>
      <c r="L15" s="19"/>
    </row>
    <row r="16" spans="1:12">
      <c r="A16" s="10" t="s">
        <v>16</v>
      </c>
      <c r="B16" s="10">
        <v>5000</v>
      </c>
      <c r="C16" s="18"/>
      <c r="D16" s="1"/>
      <c r="E16" s="1"/>
      <c r="F16" s="1"/>
      <c r="G16" s="1"/>
      <c r="H16" s="1"/>
      <c r="I16" s="1"/>
      <c r="J16" s="1"/>
    </row>
    <row r="17" spans="1:10">
      <c r="A17" s="23" t="s">
        <v>17</v>
      </c>
      <c r="B17" s="34">
        <v>600</v>
      </c>
      <c r="C17" s="18"/>
      <c r="D17" s="1"/>
      <c r="E17" s="1"/>
      <c r="F17" s="1"/>
      <c r="G17" s="1"/>
      <c r="H17" s="1"/>
      <c r="I17" s="1"/>
      <c r="J17" s="1"/>
    </row>
    <row r="18" spans="1:10">
      <c r="A18" s="23" t="s">
        <v>41</v>
      </c>
      <c r="B18" s="23">
        <v>1180</v>
      </c>
      <c r="C18" s="18"/>
      <c r="D18" s="1"/>
      <c r="E18" s="1"/>
      <c r="F18" s="1"/>
      <c r="G18" s="1"/>
      <c r="H18" s="1"/>
      <c r="I18" s="1"/>
      <c r="J18" s="1"/>
    </row>
    <row r="19" spans="1:10">
      <c r="A19" s="23" t="s">
        <v>19</v>
      </c>
      <c r="B19" s="23">
        <v>500</v>
      </c>
      <c r="C19" s="18"/>
      <c r="D19" s="1"/>
      <c r="E19" s="1"/>
      <c r="F19" s="1"/>
      <c r="G19" s="1"/>
      <c r="H19" s="1"/>
      <c r="I19" s="1"/>
      <c r="J19" s="1"/>
    </row>
    <row r="20" spans="1:10">
      <c r="A20" s="10" t="s">
        <v>20</v>
      </c>
      <c r="B20" s="10">
        <v>200</v>
      </c>
      <c r="C20" s="18" t="s">
        <v>80</v>
      </c>
      <c r="D20" s="1"/>
      <c r="E20" s="1"/>
      <c r="F20" s="1"/>
      <c r="G20" s="1"/>
      <c r="H20" s="1"/>
      <c r="I20" s="1"/>
      <c r="J20" s="1"/>
    </row>
    <row r="21" spans="1:10">
      <c r="A21" s="23" t="s">
        <v>63</v>
      </c>
      <c r="B21" s="23">
        <v>1500</v>
      </c>
      <c r="C21" s="18"/>
      <c r="D21" s="1"/>
      <c r="E21" s="1"/>
      <c r="F21" s="1"/>
      <c r="G21" s="1"/>
      <c r="H21" s="1"/>
      <c r="I21" s="1"/>
      <c r="J21" s="1"/>
    </row>
    <row r="22" spans="1:10">
      <c r="A22" s="23" t="s">
        <v>64</v>
      </c>
      <c r="B22" s="23">
        <v>3700</v>
      </c>
      <c r="C22" s="18"/>
      <c r="D22" s="1"/>
      <c r="E22" s="1"/>
      <c r="F22" s="1"/>
      <c r="G22" s="1"/>
      <c r="H22" s="1"/>
      <c r="I22" s="1"/>
      <c r="J22" s="1"/>
    </row>
    <row r="23" spans="1:10">
      <c r="A23" s="2" t="s">
        <v>14</v>
      </c>
      <c r="B23" s="2">
        <f>SUM(B16:B22)</f>
        <v>12680</v>
      </c>
      <c r="C23" s="18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5" t="s">
        <v>22</v>
      </c>
      <c r="B25" s="6" t="s">
        <v>10</v>
      </c>
      <c r="C25" s="4" t="s">
        <v>101</v>
      </c>
      <c r="D25" s="1"/>
      <c r="E25" s="1"/>
      <c r="F25" s="1"/>
      <c r="G25" s="1"/>
      <c r="H25" s="1"/>
      <c r="I25" s="1"/>
      <c r="J25" s="1"/>
    </row>
    <row r="26" spans="1:10">
      <c r="A26" s="10" t="s">
        <v>26</v>
      </c>
      <c r="B26" s="31">
        <v>5000</v>
      </c>
      <c r="C26" s="26" t="s">
        <v>80</v>
      </c>
      <c r="D26" s="1"/>
      <c r="E26" s="1"/>
      <c r="F26" s="1"/>
      <c r="G26" s="1"/>
      <c r="H26" s="1"/>
      <c r="I26" s="1"/>
      <c r="J26" s="1"/>
    </row>
    <row r="27" spans="1:10">
      <c r="A27" s="10" t="s">
        <v>27</v>
      </c>
      <c r="B27" s="10">
        <v>1000</v>
      </c>
      <c r="C27" s="26" t="s">
        <v>118</v>
      </c>
      <c r="D27" s="1"/>
      <c r="E27" s="1"/>
      <c r="F27" s="1"/>
      <c r="G27" s="1"/>
      <c r="H27" s="1"/>
      <c r="I27" s="1"/>
      <c r="J27" s="1"/>
    </row>
    <row r="28" spans="1:10">
      <c r="A28" s="1" t="s">
        <v>127</v>
      </c>
      <c r="B28" s="1">
        <v>9500</v>
      </c>
      <c r="C28" s="18" t="s">
        <v>80</v>
      </c>
      <c r="D28" s="1"/>
      <c r="E28" s="1"/>
      <c r="F28" s="1"/>
      <c r="G28" s="1"/>
      <c r="H28" s="1"/>
      <c r="I28" s="1"/>
      <c r="J28" s="1"/>
    </row>
    <row r="29" spans="1:10">
      <c r="A29" s="10" t="s">
        <v>65</v>
      </c>
      <c r="B29" s="10">
        <v>500</v>
      </c>
      <c r="C29" s="26" t="s">
        <v>118</v>
      </c>
      <c r="D29" s="1"/>
      <c r="E29" s="1"/>
      <c r="F29" s="1"/>
      <c r="G29" s="1"/>
      <c r="H29" s="1"/>
      <c r="I29" s="1"/>
      <c r="J29" s="1"/>
    </row>
    <row r="30" spans="1:10">
      <c r="A30" s="10" t="s">
        <v>24</v>
      </c>
      <c r="B30" s="31">
        <v>500</v>
      </c>
      <c r="C30" s="26" t="s">
        <v>118</v>
      </c>
      <c r="D30" s="1"/>
      <c r="E30" s="1"/>
      <c r="F30" s="1"/>
      <c r="G30" s="1"/>
      <c r="H30" s="1"/>
      <c r="I30" s="1"/>
      <c r="J30" s="1"/>
    </row>
    <row r="31" spans="1:10">
      <c r="A31" s="2" t="s">
        <v>14</v>
      </c>
      <c r="B31" s="2">
        <f>SUM(B26:B30)</f>
        <v>16500</v>
      </c>
      <c r="C31" s="18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D38" s="1"/>
      <c r="E38" s="1"/>
      <c r="F38" s="1"/>
      <c r="G38" s="1"/>
      <c r="H38" s="1"/>
      <c r="I38" s="1"/>
      <c r="J38" s="1"/>
    </row>
    <row r="39" spans="1:10">
      <c r="D39" s="1"/>
      <c r="E39" s="1"/>
      <c r="F39" s="1"/>
      <c r="G39" s="1"/>
      <c r="H39" s="1"/>
      <c r="I39" s="1"/>
      <c r="J39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248A-4101-42BB-999C-B907F1831AA8}">
  <dimension ref="A2:L42"/>
  <sheetViews>
    <sheetView topLeftCell="A4" zoomScale="130" zoomScaleNormal="130" workbookViewId="0">
      <selection activeCell="A8" sqref="A8:B15"/>
    </sheetView>
  </sheetViews>
  <sheetFormatPr defaultRowHeight="15"/>
  <cols>
    <col min="1" max="1" width="21.85546875" customWidth="1"/>
    <col min="2" max="2" width="20.7109375" customWidth="1"/>
    <col min="3" max="3" width="23.140625" customWidth="1"/>
    <col min="4" max="4" width="27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2">
      <c r="A2" s="35">
        <f ca="1">TODAY()</f>
        <v>46288</v>
      </c>
      <c r="B2" s="36"/>
    </row>
    <row r="3" spans="1:12">
      <c r="A3" s="36"/>
      <c r="B3" s="36"/>
      <c r="C3" s="37" t="s">
        <v>1</v>
      </c>
      <c r="D3" s="37"/>
      <c r="E3" s="37"/>
    </row>
    <row r="5" spans="1:12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2">
      <c r="A6" s="13">
        <f>34361.25+19057.5</f>
        <v>53418.75</v>
      </c>
      <c r="B6" s="13">
        <f>Tabela11014182226303438424650545862667074788286909498102106110114118122126134138142146150154158162170174178182186190194198202206[ENTRADA]*3/100</f>
        <v>1602.5625</v>
      </c>
      <c r="C6" s="13">
        <f>Tabela11014182226303438424650545862667074788286909498102106110114118122126134138142146150154158162170174178182186190194198202206[ENTRADA]*10/100</f>
        <v>5341.875</v>
      </c>
      <c r="D6" s="11">
        <f>Tabela11014182226303438424650545862667074788286909498102106110114118122126134138142146150154158162170174178182186190194198202206[ENTRADA]-(Tabela11014182226303438424650545862667074788286909498102106110114118122126134138142146150154158162170174178182186190194198202206[INSS 3%]+Tabela11014182226303438424650545862667074788286909498102106110114118122126134138142146150154158162170174178182186190194198202206[DIZIMO 10%])</f>
        <v>46474.3125</v>
      </c>
      <c r="E6" s="8">
        <f>Tabela11014182226303438424650545862667074788286909498102106110114118122126134138142146150154158162170174178182186190194198202206[Renda 87%]-(B15+B26+B34)</f>
        <v>6894.3125</v>
      </c>
      <c r="F6" s="11"/>
      <c r="G6" s="11"/>
      <c r="H6" s="11"/>
      <c r="I6" s="7">
        <f>B15+B26+B34</f>
        <v>39580</v>
      </c>
      <c r="J6" s="9">
        <f>Tabela11014182226303438424650545862667074788286909498102106110114118122126134138142146150154158162170174178182186190194198202206[Saldo Final]+I6</f>
        <v>46474.3125</v>
      </c>
    </row>
    <row r="7" spans="1:12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2">
      <c r="A8" s="3" t="s">
        <v>9</v>
      </c>
      <c r="B8" s="4" t="s">
        <v>10</v>
      </c>
      <c r="C8" s="4" t="s">
        <v>101</v>
      </c>
      <c r="D8" s="1"/>
      <c r="E8" s="1"/>
      <c r="F8" s="1"/>
      <c r="G8" s="1"/>
      <c r="H8" s="1"/>
      <c r="I8" s="1"/>
      <c r="J8" s="1"/>
      <c r="L8" s="19"/>
    </row>
    <row r="9" spans="1:12">
      <c r="A9" s="4" t="s">
        <v>59</v>
      </c>
      <c r="B9" s="30">
        <v>2000</v>
      </c>
      <c r="C9" s="18"/>
      <c r="D9" s="1"/>
      <c r="E9" s="1"/>
      <c r="F9" s="1"/>
      <c r="G9" s="1"/>
      <c r="H9" s="1"/>
      <c r="I9" s="1"/>
      <c r="J9" s="1"/>
      <c r="L9" s="19"/>
    </row>
    <row r="10" spans="1:12">
      <c r="A10" s="4" t="s">
        <v>133</v>
      </c>
      <c r="B10" s="4">
        <v>5000</v>
      </c>
      <c r="C10" s="18"/>
      <c r="D10" s="1"/>
      <c r="E10" s="1"/>
      <c r="F10" s="1"/>
      <c r="G10" s="1"/>
      <c r="H10" s="1"/>
      <c r="I10" s="1"/>
      <c r="J10" s="1"/>
      <c r="L10" s="19"/>
    </row>
    <row r="11" spans="1:12">
      <c r="A11" s="4" t="s">
        <v>136</v>
      </c>
      <c r="B11" s="4">
        <v>1700</v>
      </c>
      <c r="C11" s="18"/>
      <c r="D11" s="1"/>
      <c r="E11" s="1"/>
      <c r="F11" s="1"/>
      <c r="G11" s="1"/>
      <c r="H11" s="1"/>
      <c r="I11" s="1"/>
      <c r="J11" s="1"/>
      <c r="L11" s="19"/>
    </row>
    <row r="12" spans="1:12">
      <c r="A12" s="4" t="s">
        <v>137</v>
      </c>
      <c r="B12" s="4">
        <v>1000</v>
      </c>
      <c r="C12" s="18"/>
      <c r="D12" s="1"/>
      <c r="E12" s="1"/>
      <c r="F12" s="1"/>
      <c r="G12" s="1"/>
      <c r="H12" s="1"/>
      <c r="I12" s="1"/>
      <c r="J12" s="1"/>
      <c r="L12" s="19"/>
    </row>
    <row r="13" spans="1:12">
      <c r="A13" s="4" t="s">
        <v>50</v>
      </c>
      <c r="B13" s="4">
        <v>800</v>
      </c>
      <c r="C13" s="18"/>
      <c r="D13" s="1"/>
      <c r="E13" s="1"/>
      <c r="F13" s="1"/>
      <c r="G13" s="1"/>
      <c r="H13" s="1"/>
      <c r="I13" s="1"/>
      <c r="J13" s="1"/>
      <c r="L13" s="19"/>
    </row>
    <row r="14" spans="1:12">
      <c r="A14" s="4" t="s">
        <v>44</v>
      </c>
      <c r="B14" s="17">
        <v>1500</v>
      </c>
      <c r="C14" s="18"/>
      <c r="D14" s="1"/>
      <c r="E14" s="1"/>
      <c r="F14" s="1"/>
      <c r="G14" s="1"/>
      <c r="H14" s="1"/>
      <c r="I14" s="1"/>
      <c r="J14" s="1"/>
      <c r="L14" s="19"/>
    </row>
    <row r="15" spans="1:12">
      <c r="A15" s="2" t="s">
        <v>14</v>
      </c>
      <c r="B15" s="28">
        <f>SUM(B9:B14)</f>
        <v>12000</v>
      </c>
      <c r="C15" s="18"/>
      <c r="D15" s="1"/>
      <c r="E15" s="1"/>
      <c r="F15" s="1"/>
      <c r="G15" s="1"/>
      <c r="H15" s="1"/>
      <c r="I15" s="1"/>
      <c r="J15" s="1"/>
      <c r="L15" s="19"/>
    </row>
    <row r="16" spans="1:12">
      <c r="A16" s="1"/>
      <c r="B16" s="29"/>
      <c r="C16" s="1"/>
      <c r="D16" s="1"/>
      <c r="E16" s="1"/>
      <c r="F16" s="1"/>
      <c r="G16" s="1"/>
      <c r="H16" s="1"/>
      <c r="I16" s="1"/>
      <c r="J16" s="1"/>
      <c r="L16" s="19"/>
    </row>
    <row r="17" spans="1:12">
      <c r="A17" s="4" t="s">
        <v>15</v>
      </c>
      <c r="B17" s="4" t="s">
        <v>10</v>
      </c>
      <c r="C17" s="27" t="s">
        <v>92</v>
      </c>
      <c r="D17" s="1"/>
      <c r="E17" s="1"/>
      <c r="F17" s="1"/>
      <c r="G17" s="1"/>
      <c r="H17" s="1"/>
      <c r="I17" s="1"/>
      <c r="J17" s="1"/>
      <c r="L17" s="19"/>
    </row>
    <row r="18" spans="1:12">
      <c r="A18" s="10" t="s">
        <v>16</v>
      </c>
      <c r="B18" s="10">
        <v>5000</v>
      </c>
      <c r="C18" s="18"/>
      <c r="D18" s="1"/>
      <c r="E18" s="1"/>
      <c r="F18" s="1"/>
      <c r="G18" s="1"/>
      <c r="H18" s="1"/>
      <c r="I18" s="1"/>
      <c r="J18" s="1"/>
    </row>
    <row r="19" spans="1:12">
      <c r="A19" s="23" t="s">
        <v>17</v>
      </c>
      <c r="B19" s="34">
        <v>1500</v>
      </c>
      <c r="C19" s="18"/>
      <c r="D19" s="1"/>
      <c r="E19" s="1"/>
      <c r="F19" s="1"/>
      <c r="G19" s="1"/>
      <c r="H19" s="1"/>
      <c r="I19" s="1"/>
      <c r="J19" s="1"/>
    </row>
    <row r="20" spans="1:12">
      <c r="A20" s="23" t="s">
        <v>41</v>
      </c>
      <c r="B20" s="23">
        <v>1180</v>
      </c>
      <c r="C20" s="18"/>
      <c r="D20" s="1"/>
      <c r="E20" s="1"/>
      <c r="F20" s="1"/>
      <c r="G20" s="1"/>
      <c r="H20" s="1"/>
      <c r="I20" s="1"/>
      <c r="J20" s="1"/>
    </row>
    <row r="21" spans="1:12">
      <c r="A21" s="1" t="s">
        <v>13</v>
      </c>
      <c r="B21" s="1">
        <v>2000</v>
      </c>
      <c r="C21" s="18"/>
      <c r="D21" s="1"/>
      <c r="E21" s="1"/>
      <c r="F21" s="1"/>
      <c r="G21" s="1"/>
      <c r="H21" s="1"/>
      <c r="I21" s="1"/>
      <c r="J21" s="1"/>
    </row>
    <row r="22" spans="1:12">
      <c r="A22" s="23" t="s">
        <v>19</v>
      </c>
      <c r="B22" s="23">
        <v>500</v>
      </c>
      <c r="C22" s="18"/>
      <c r="D22" s="1"/>
      <c r="E22" s="1"/>
      <c r="F22" s="1"/>
      <c r="G22" s="1"/>
      <c r="H22" s="1"/>
      <c r="I22" s="1"/>
      <c r="J22" s="1"/>
    </row>
    <row r="23" spans="1:12">
      <c r="A23" s="10" t="s">
        <v>20</v>
      </c>
      <c r="B23" s="10">
        <v>200</v>
      </c>
      <c r="C23" s="18" t="s">
        <v>80</v>
      </c>
      <c r="D23" s="1"/>
      <c r="E23" s="1"/>
      <c r="F23" s="1"/>
      <c r="G23" s="1"/>
      <c r="H23" s="1"/>
      <c r="I23" s="1"/>
      <c r="J23" s="1"/>
    </row>
    <row r="24" spans="1:12">
      <c r="A24" s="23" t="s">
        <v>63</v>
      </c>
      <c r="B24" s="23">
        <v>1500</v>
      </c>
      <c r="C24" s="18"/>
      <c r="D24" s="1"/>
      <c r="E24" s="1"/>
      <c r="F24" s="1"/>
      <c r="G24" s="1"/>
      <c r="H24" s="1"/>
      <c r="I24" s="1"/>
      <c r="J24" s="1"/>
    </row>
    <row r="25" spans="1:12">
      <c r="A25" s="23" t="s">
        <v>64</v>
      </c>
      <c r="B25" s="23">
        <v>3700</v>
      </c>
      <c r="C25" s="18"/>
      <c r="D25" s="1"/>
      <c r="E25" s="1"/>
      <c r="F25" s="1"/>
      <c r="G25" s="1"/>
      <c r="H25" s="1"/>
      <c r="I25" s="1"/>
      <c r="J25" s="1"/>
    </row>
    <row r="26" spans="1:12">
      <c r="A26" s="2" t="s">
        <v>14</v>
      </c>
      <c r="B26" s="2">
        <f>SUM(B18:B25)</f>
        <v>15580</v>
      </c>
      <c r="C26" s="18"/>
      <c r="D26" s="1"/>
      <c r="E26" s="1"/>
      <c r="F26" s="1"/>
      <c r="G26" s="1"/>
      <c r="H26" s="1"/>
      <c r="I26" s="1"/>
      <c r="J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2">
      <c r="A28" s="5" t="s">
        <v>22</v>
      </c>
      <c r="B28" s="6" t="s">
        <v>10</v>
      </c>
      <c r="C28" s="4" t="s">
        <v>101</v>
      </c>
      <c r="D28" s="1"/>
      <c r="E28" s="1"/>
      <c r="F28" s="1"/>
      <c r="G28" s="1"/>
      <c r="H28" s="1"/>
      <c r="I28" s="1"/>
      <c r="J28" s="1"/>
    </row>
    <row r="29" spans="1:12">
      <c r="A29" s="10" t="s">
        <v>26</v>
      </c>
      <c r="B29" s="31">
        <v>5000</v>
      </c>
      <c r="C29" s="26" t="s">
        <v>80</v>
      </c>
      <c r="D29" s="1"/>
      <c r="E29" s="1"/>
      <c r="F29" s="1"/>
      <c r="G29" s="1"/>
      <c r="H29" s="1"/>
      <c r="I29" s="1"/>
      <c r="J29" s="1"/>
    </row>
    <row r="30" spans="1:12">
      <c r="A30" s="10" t="s">
        <v>27</v>
      </c>
      <c r="B30" s="10">
        <v>1000</v>
      </c>
      <c r="C30" s="26" t="s">
        <v>118</v>
      </c>
      <c r="D30" s="1"/>
      <c r="E30" s="1"/>
      <c r="F30" s="1"/>
      <c r="G30" s="1"/>
      <c r="H30" s="1"/>
      <c r="I30" s="1"/>
      <c r="J30" s="1"/>
    </row>
    <row r="31" spans="1:12">
      <c r="A31" s="1" t="s">
        <v>127</v>
      </c>
      <c r="B31" s="1">
        <v>5000</v>
      </c>
      <c r="C31" s="18" t="s">
        <v>80</v>
      </c>
      <c r="D31" s="1"/>
      <c r="E31" s="1"/>
      <c r="F31" s="1"/>
      <c r="G31" s="1"/>
      <c r="H31" s="1"/>
      <c r="I31" s="1"/>
      <c r="J31" s="1"/>
    </row>
    <row r="32" spans="1:12">
      <c r="A32" s="10" t="s">
        <v>65</v>
      </c>
      <c r="B32" s="10">
        <v>500</v>
      </c>
      <c r="C32" s="26" t="s">
        <v>118</v>
      </c>
      <c r="D32" s="1"/>
      <c r="E32" s="1"/>
      <c r="F32" s="1"/>
      <c r="G32" s="1"/>
      <c r="H32" s="1"/>
      <c r="I32" s="1"/>
      <c r="J32" s="1"/>
    </row>
    <row r="33" spans="1:10">
      <c r="A33" s="10" t="s">
        <v>24</v>
      </c>
      <c r="B33" s="31">
        <v>500</v>
      </c>
      <c r="C33" s="26" t="s">
        <v>118</v>
      </c>
      <c r="D33" s="1"/>
      <c r="E33" s="1"/>
      <c r="F33" s="1"/>
      <c r="G33" s="1"/>
      <c r="H33" s="1"/>
      <c r="I33" s="1"/>
      <c r="J33" s="1"/>
    </row>
    <row r="34" spans="1:10">
      <c r="A34" s="2" t="s">
        <v>14</v>
      </c>
      <c r="B34" s="2">
        <f>SUM(B29:B33)</f>
        <v>12000</v>
      </c>
      <c r="C34" s="18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D41" s="1"/>
      <c r="E41" s="1"/>
      <c r="F41" s="1"/>
      <c r="G41" s="1"/>
      <c r="H41" s="1"/>
      <c r="I41" s="1"/>
      <c r="J41" s="1"/>
    </row>
    <row r="42" spans="1:10">
      <c r="D42" s="1"/>
      <c r="E42" s="1"/>
      <c r="F42" s="1"/>
      <c r="G42" s="1"/>
      <c r="H42" s="1"/>
      <c r="I42" s="1"/>
      <c r="J42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9CB7-509C-43FC-BE3C-D031844C9F5F}">
  <dimension ref="A2:M42"/>
  <sheetViews>
    <sheetView topLeftCell="A5" zoomScale="130" zoomScaleNormal="130" workbookViewId="0">
      <selection activeCell="J6" sqref="J6"/>
    </sheetView>
  </sheetViews>
  <sheetFormatPr defaultRowHeight="15"/>
  <cols>
    <col min="1" max="1" width="21.85546875" customWidth="1"/>
    <col min="2" max="2" width="20.7109375" customWidth="1"/>
    <col min="3" max="3" width="7.7109375" customWidth="1"/>
    <col min="4" max="4" width="20.42578125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3">
      <c r="A2" s="35">
        <f ca="1">TODAY()</f>
        <v>46288</v>
      </c>
      <c r="B2" s="36"/>
    </row>
    <row r="3" spans="1:13">
      <c r="A3" s="36"/>
      <c r="B3" s="36"/>
      <c r="C3" s="37" t="s">
        <v>1</v>
      </c>
      <c r="D3" s="37"/>
      <c r="E3" s="37"/>
    </row>
    <row r="5" spans="1:13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3">
      <c r="A6" s="13">
        <f>34361.25+19057.5</f>
        <v>53418.75</v>
      </c>
      <c r="B6" s="13">
        <f>Tabela11014182226303438424650545862667074788286909498102106110114118122126134138142146150154158162170174178182186190194198202206210[ENTRADA]*3/100</f>
        <v>1602.5625</v>
      </c>
      <c r="C6" s="13">
        <f>Tabela11014182226303438424650545862667074788286909498102106110114118122126134138142146150154158162170174178182186190194198202206210[ENTRADA]*10/100</f>
        <v>5341.875</v>
      </c>
      <c r="D6" s="11">
        <f>Tabela11014182226303438424650545862667074788286909498102106110114118122126134138142146150154158162170174178182186190194198202206210[ENTRADA]-(Tabela11014182226303438424650545862667074788286909498102106110114118122126134138142146150154158162170174178182186190194198202206210[INSS 3%]+Tabela11014182226303438424650545862667074788286909498102106110114118122126134138142146150154158162170174178182186190194198202206210[DIZIMO 10%])</f>
        <v>46474.3125</v>
      </c>
      <c r="E6" s="8">
        <f>Tabela11014182226303438424650545862667074788286909498102106110114118122126134138142146150154158162170174178182186190194198202206210[Renda 87%]-(B13+B24+B32)</f>
        <v>3594.3125</v>
      </c>
      <c r="F6" s="11"/>
      <c r="G6" s="11"/>
      <c r="H6" s="11"/>
      <c r="I6" s="7">
        <f>B13+B24+B32</f>
        <v>42880</v>
      </c>
      <c r="J6" s="9">
        <f>Tabela11014182226303438424650545862667074788286909498102106110114118122126134138142146150154158162170174178182186190194198202206210[Saldo Final]+I6</f>
        <v>46474.3125</v>
      </c>
    </row>
    <row r="7" spans="1:13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3">
      <c r="A8" s="3" t="s">
        <v>9</v>
      </c>
      <c r="B8" s="4" t="s">
        <v>10</v>
      </c>
      <c r="C8" s="4" t="s">
        <v>92</v>
      </c>
      <c r="D8" s="4" t="s">
        <v>101</v>
      </c>
      <c r="E8" s="1"/>
      <c r="F8" s="1"/>
      <c r="G8" s="1"/>
      <c r="H8" s="1"/>
      <c r="I8" s="1"/>
      <c r="J8" s="1"/>
      <c r="K8" s="1"/>
      <c r="M8" s="19"/>
    </row>
    <row r="9" spans="1:13">
      <c r="A9" s="4" t="s">
        <v>59</v>
      </c>
      <c r="B9" s="30">
        <v>2000</v>
      </c>
      <c r="C9" s="30" t="s">
        <v>80</v>
      </c>
      <c r="D9" s="18"/>
      <c r="E9" s="1"/>
      <c r="F9" s="1"/>
      <c r="G9" s="1"/>
      <c r="H9" s="1"/>
      <c r="I9" s="1"/>
      <c r="J9" s="1"/>
      <c r="K9" s="1"/>
      <c r="M9" s="19"/>
    </row>
    <row r="10" spans="1:13">
      <c r="A10" s="4" t="s">
        <v>133</v>
      </c>
      <c r="B10" s="4">
        <v>5000</v>
      </c>
      <c r="C10" s="30" t="s">
        <v>80</v>
      </c>
      <c r="D10" s="18"/>
      <c r="E10" s="1"/>
      <c r="F10" s="1"/>
      <c r="G10" s="1"/>
      <c r="H10" s="1"/>
      <c r="I10" s="1"/>
      <c r="J10" s="1"/>
      <c r="K10" s="1"/>
      <c r="M10" s="19"/>
    </row>
    <row r="11" spans="1:13">
      <c r="A11" s="4" t="s">
        <v>99</v>
      </c>
      <c r="B11" s="4">
        <v>4000</v>
      </c>
      <c r="C11" s="30" t="s">
        <v>80</v>
      </c>
      <c r="D11" s="18"/>
      <c r="E11" s="1"/>
      <c r="F11" s="1"/>
      <c r="G11" s="1"/>
      <c r="H11" s="1"/>
      <c r="I11" s="1"/>
      <c r="J11" s="1"/>
      <c r="K11" s="1"/>
      <c r="M11" s="19"/>
    </row>
    <row r="12" spans="1:13">
      <c r="A12" s="4" t="s">
        <v>138</v>
      </c>
      <c r="B12" s="4">
        <v>2000</v>
      </c>
      <c r="C12" s="30" t="s">
        <v>80</v>
      </c>
      <c r="D12" s="18"/>
      <c r="E12" s="1"/>
      <c r="F12" s="1"/>
      <c r="G12" s="1"/>
      <c r="H12" s="1"/>
      <c r="I12" s="1"/>
      <c r="J12" s="1"/>
      <c r="K12" s="1"/>
      <c r="M12" s="19"/>
    </row>
    <row r="13" spans="1:13">
      <c r="A13" s="2" t="s">
        <v>14</v>
      </c>
      <c r="B13" s="28">
        <f>SUM(B9:B12)</f>
        <v>13000</v>
      </c>
      <c r="C13" s="30" t="s">
        <v>80</v>
      </c>
      <c r="D13" s="18"/>
      <c r="E13" s="1"/>
      <c r="F13" s="1"/>
      <c r="G13" s="1"/>
      <c r="H13" s="1"/>
      <c r="I13" s="1"/>
      <c r="J13" s="1"/>
      <c r="K13" s="1"/>
      <c r="M13" s="19"/>
    </row>
    <row r="14" spans="1:13">
      <c r="A14" s="1"/>
      <c r="B14" s="29"/>
      <c r="C14" s="1"/>
      <c r="D14" s="1"/>
      <c r="E14" s="1"/>
      <c r="F14" s="1"/>
      <c r="G14" s="1"/>
      <c r="H14" s="1"/>
      <c r="I14" s="1"/>
      <c r="J14" s="1"/>
      <c r="L14" s="19"/>
    </row>
    <row r="15" spans="1:13">
      <c r="A15" s="4" t="s">
        <v>15</v>
      </c>
      <c r="B15" s="4" t="s">
        <v>10</v>
      </c>
      <c r="C15" s="4" t="s">
        <v>139</v>
      </c>
      <c r="D15" s="27" t="s">
        <v>92</v>
      </c>
      <c r="E15" s="1"/>
      <c r="F15" s="1"/>
      <c r="G15" s="1"/>
      <c r="H15" s="1"/>
      <c r="I15" s="1"/>
      <c r="J15" s="1"/>
      <c r="K15" s="1"/>
      <c r="M15" s="19"/>
    </row>
    <row r="16" spans="1:13">
      <c r="A16" s="10" t="s">
        <v>16</v>
      </c>
      <c r="B16" s="10">
        <v>5000</v>
      </c>
      <c r="C16" s="10"/>
      <c r="D16" s="18"/>
      <c r="E16" s="1"/>
      <c r="F16" s="1"/>
      <c r="G16" s="1"/>
      <c r="H16" s="1"/>
      <c r="I16" s="1"/>
      <c r="J16" s="1"/>
      <c r="K16" s="1"/>
      <c r="M16" s="19"/>
    </row>
    <row r="17" spans="1:13">
      <c r="A17" s="23" t="s">
        <v>17</v>
      </c>
      <c r="B17" s="34">
        <v>1000</v>
      </c>
      <c r="C17" s="34"/>
      <c r="D17" s="18"/>
      <c r="E17" s="1"/>
      <c r="F17" s="1"/>
      <c r="G17" s="1"/>
      <c r="H17" s="1"/>
      <c r="I17" s="1"/>
      <c r="J17" s="1"/>
      <c r="K17" s="1"/>
      <c r="M17" s="19"/>
    </row>
    <row r="18" spans="1:13">
      <c r="A18" s="23" t="s">
        <v>41</v>
      </c>
      <c r="B18" s="23">
        <v>1180</v>
      </c>
      <c r="C18" s="23"/>
      <c r="D18" s="18"/>
      <c r="E18" s="1"/>
      <c r="F18" s="1"/>
      <c r="G18" s="1"/>
      <c r="H18" s="1"/>
      <c r="I18" s="1"/>
      <c r="J18" s="1"/>
      <c r="K18" s="1"/>
    </row>
    <row r="19" spans="1:13">
      <c r="A19" s="1" t="s">
        <v>13</v>
      </c>
      <c r="B19" s="1">
        <v>2000</v>
      </c>
      <c r="C19" s="1"/>
      <c r="D19" s="18"/>
      <c r="E19" s="1"/>
      <c r="F19" s="1"/>
      <c r="G19" s="1"/>
      <c r="H19" s="1"/>
      <c r="I19" s="1"/>
      <c r="J19" s="1"/>
      <c r="K19" s="1"/>
    </row>
    <row r="20" spans="1:13">
      <c r="A20" s="23" t="s">
        <v>19</v>
      </c>
      <c r="B20" s="23">
        <v>500</v>
      </c>
      <c r="C20" s="23"/>
      <c r="D20" s="18"/>
      <c r="E20" s="1"/>
      <c r="F20" s="1"/>
      <c r="G20" s="1"/>
      <c r="H20" s="1"/>
      <c r="I20" s="1"/>
      <c r="J20" s="1"/>
      <c r="K20" s="1"/>
    </row>
    <row r="21" spans="1:13">
      <c r="A21" s="10" t="s">
        <v>20</v>
      </c>
      <c r="B21" s="10">
        <v>200</v>
      </c>
      <c r="C21" s="10"/>
      <c r="D21" s="18" t="s">
        <v>80</v>
      </c>
      <c r="E21" s="1"/>
      <c r="F21" s="1"/>
      <c r="G21" s="1"/>
      <c r="H21" s="1"/>
      <c r="I21" s="1"/>
      <c r="J21" s="1"/>
      <c r="K21" s="1"/>
    </row>
    <row r="22" spans="1:13">
      <c r="A22" s="23" t="s">
        <v>63</v>
      </c>
      <c r="B22" s="23">
        <v>1500</v>
      </c>
      <c r="C22" s="23"/>
      <c r="D22" s="18"/>
      <c r="E22" s="1"/>
      <c r="F22" s="1"/>
      <c r="G22" s="1"/>
      <c r="H22" s="1"/>
      <c r="I22" s="1"/>
      <c r="J22" s="1"/>
      <c r="K22" s="1"/>
    </row>
    <row r="23" spans="1:13">
      <c r="A23" s="23" t="s">
        <v>64</v>
      </c>
      <c r="B23" s="23">
        <v>3700</v>
      </c>
      <c r="C23" s="23"/>
      <c r="D23" s="18"/>
      <c r="E23" s="1"/>
      <c r="F23" s="1"/>
      <c r="G23" s="1"/>
      <c r="H23" s="1"/>
      <c r="I23" s="1"/>
      <c r="J23" s="1"/>
      <c r="K23" s="1"/>
    </row>
    <row r="24" spans="1:13">
      <c r="A24" s="2" t="s">
        <v>14</v>
      </c>
      <c r="B24" s="2">
        <f>SUM(B16:B23)</f>
        <v>15080</v>
      </c>
      <c r="C24" s="2"/>
      <c r="D24" s="18"/>
      <c r="E24" s="1"/>
      <c r="F24" s="1"/>
      <c r="G24" s="1"/>
      <c r="H24" s="1"/>
      <c r="I24" s="1"/>
      <c r="J24" s="1"/>
      <c r="K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3">
      <c r="A26" s="5" t="s">
        <v>22</v>
      </c>
      <c r="B26" s="6" t="s">
        <v>10</v>
      </c>
      <c r="C26" s="4" t="s">
        <v>101</v>
      </c>
      <c r="D26" s="1"/>
      <c r="E26" s="1"/>
      <c r="F26" s="1"/>
      <c r="G26" s="1"/>
      <c r="H26" s="1"/>
      <c r="I26" s="1"/>
      <c r="J26" s="1"/>
    </row>
    <row r="27" spans="1:13">
      <c r="A27" s="10" t="s">
        <v>26</v>
      </c>
      <c r="B27" s="31">
        <v>5000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3">
      <c r="A28" s="10" t="s">
        <v>27</v>
      </c>
      <c r="B28" s="10">
        <v>3800</v>
      </c>
      <c r="C28" s="26" t="s">
        <v>118</v>
      </c>
      <c r="D28" s="1"/>
      <c r="E28" s="1"/>
      <c r="F28" s="1"/>
      <c r="G28" s="1"/>
      <c r="H28" s="1"/>
      <c r="I28" s="1"/>
      <c r="J28" s="1"/>
    </row>
    <row r="29" spans="1:13">
      <c r="A29" s="1" t="s">
        <v>127</v>
      </c>
      <c r="B29" s="1">
        <v>5000</v>
      </c>
      <c r="C29" s="18" t="s">
        <v>80</v>
      </c>
      <c r="D29" s="1"/>
      <c r="E29" s="1"/>
      <c r="F29" s="1"/>
      <c r="G29" s="1"/>
      <c r="H29" s="1"/>
      <c r="I29" s="1"/>
      <c r="J29" s="1"/>
    </row>
    <row r="30" spans="1:13">
      <c r="A30" s="10" t="s">
        <v>65</v>
      </c>
      <c r="B30" s="10">
        <v>500</v>
      </c>
      <c r="C30" s="26" t="s">
        <v>118</v>
      </c>
      <c r="D30" s="1"/>
      <c r="E30" s="1"/>
      <c r="F30" s="1"/>
      <c r="G30" s="1"/>
      <c r="H30" s="1"/>
      <c r="I30" s="1"/>
      <c r="J30" s="1"/>
    </row>
    <row r="31" spans="1:13">
      <c r="A31" s="10" t="s">
        <v>24</v>
      </c>
      <c r="B31" s="31">
        <v>500</v>
      </c>
      <c r="C31" s="26" t="s">
        <v>118</v>
      </c>
      <c r="D31" s="1"/>
      <c r="E31" s="1"/>
      <c r="F31" s="1"/>
      <c r="G31" s="1"/>
      <c r="H31" s="1"/>
      <c r="I31" s="1"/>
      <c r="J31" s="1"/>
    </row>
    <row r="32" spans="1:13">
      <c r="A32" s="2" t="s">
        <v>14</v>
      </c>
      <c r="B32" s="2">
        <f>SUM(B27:B31)</f>
        <v>14800</v>
      </c>
      <c r="C32" s="18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D39" s="1"/>
      <c r="E39" s="1"/>
      <c r="F39" s="1"/>
      <c r="G39" s="1"/>
      <c r="H39" s="1"/>
      <c r="I39" s="1"/>
      <c r="J39" s="1"/>
    </row>
    <row r="40" spans="1:10">
      <c r="D40" s="1"/>
      <c r="E40" s="1"/>
      <c r="F40" s="1"/>
      <c r="G40" s="1"/>
      <c r="H40" s="1"/>
      <c r="I40" s="1"/>
      <c r="J40" s="1"/>
    </row>
    <row r="41" spans="1:10">
      <c r="D41" s="1"/>
      <c r="E41" s="1"/>
      <c r="F41" s="1"/>
      <c r="G41" s="1"/>
      <c r="H41" s="1"/>
      <c r="I41" s="1"/>
      <c r="J41" s="1"/>
    </row>
    <row r="42" spans="1:10">
      <c r="D42" s="1"/>
      <c r="E42" s="1"/>
      <c r="F42" s="1"/>
      <c r="G42" s="1"/>
      <c r="H42" s="1"/>
      <c r="I42" s="1"/>
      <c r="J42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A8D1-05C3-8A42-A4ED-2D2FB6CA7739}">
  <dimension ref="A2:M43"/>
  <sheetViews>
    <sheetView topLeftCell="A6" zoomScale="130" zoomScaleNormal="130" workbookViewId="0">
      <selection activeCell="C31" sqref="C31"/>
    </sheetView>
  </sheetViews>
  <sheetFormatPr defaultRowHeight="15"/>
  <cols>
    <col min="1" max="1" width="21.85546875" customWidth="1"/>
    <col min="2" max="2" width="20.7109375" customWidth="1"/>
    <col min="3" max="3" width="7.7109375" customWidth="1"/>
    <col min="4" max="4" width="20.42578125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3">
      <c r="A2" s="35">
        <f ca="1">TODAY()</f>
        <v>46288</v>
      </c>
      <c r="B2" s="36"/>
    </row>
    <row r="3" spans="1:13">
      <c r="A3" s="36"/>
      <c r="B3" s="36"/>
      <c r="C3" s="37" t="s">
        <v>1</v>
      </c>
      <c r="D3" s="37"/>
      <c r="E3" s="37"/>
    </row>
    <row r="5" spans="1:13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3">
      <c r="A6" s="13">
        <f>34361.25+19057.5</f>
        <v>53418.75</v>
      </c>
      <c r="B6" s="13">
        <f>Tabela11014182226303438424650545862667074788286909498102106110114118122126134138142146150154158162170174178182186190194198202206210214[ENTRADA]*3/100</f>
        <v>1602.5625</v>
      </c>
      <c r="C6" s="13">
        <f>Tabela11014182226303438424650545862667074788286909498102106110114118122126134138142146150154158162170174178182186190194198202206210214[ENTRADA]*10/100</f>
        <v>5341.875</v>
      </c>
      <c r="D6" s="11">
        <f>Tabela11014182226303438424650545862667074788286909498102106110114118122126134138142146150154158162170174178182186190194198202206210214[ENTRADA]-(Tabela11014182226303438424650545862667074788286909498102106110114118122126134138142146150154158162170174178182186190194198202206210214[INSS 3%]+Tabela11014182226303438424650545862667074788286909498102106110114118122126134138142146150154158162170174178182186190194198202206210214[DIZIMO 10%])</f>
        <v>46474.3125</v>
      </c>
      <c r="E6" s="8">
        <f>Tabela11014182226303438424650545862667074788286909498102106110114118122126134138142146150154158162170174178182186190194198202206210214[Renda 87%]-(B13+B24+B33)</f>
        <v>4594.3125</v>
      </c>
      <c r="F6" s="11"/>
      <c r="G6" s="11"/>
      <c r="H6" s="11"/>
      <c r="I6" s="7">
        <f>B13+B24+B33</f>
        <v>41880</v>
      </c>
      <c r="J6" s="9">
        <f>Tabela11014182226303438424650545862667074788286909498102106110114118122126134138142146150154158162170174178182186190194198202206210214[Saldo Final]+I6</f>
        <v>46474.3125</v>
      </c>
    </row>
    <row r="7" spans="1:13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3">
      <c r="A8" s="3" t="s">
        <v>9</v>
      </c>
      <c r="B8" s="4" t="s">
        <v>10</v>
      </c>
      <c r="C8" s="4" t="s">
        <v>92</v>
      </c>
      <c r="D8" s="4" t="s">
        <v>101</v>
      </c>
      <c r="E8" s="1"/>
      <c r="F8" s="1"/>
      <c r="G8" s="1"/>
      <c r="H8" s="1"/>
      <c r="I8" s="1"/>
      <c r="J8" s="1"/>
      <c r="K8" s="1"/>
      <c r="M8" s="19"/>
    </row>
    <row r="9" spans="1:13">
      <c r="A9" s="4" t="s">
        <v>59</v>
      </c>
      <c r="B9" s="30">
        <v>5000</v>
      </c>
      <c r="C9" s="30" t="s">
        <v>80</v>
      </c>
      <c r="D9" s="18"/>
      <c r="E9" s="1"/>
      <c r="F9" s="1"/>
      <c r="G9" s="1"/>
      <c r="H9" s="1"/>
      <c r="I9" s="1"/>
      <c r="J9" s="1"/>
      <c r="K9" s="1"/>
      <c r="M9" s="19"/>
    </row>
    <row r="10" spans="1:13">
      <c r="A10" s="4" t="s">
        <v>140</v>
      </c>
      <c r="B10" s="4">
        <v>2000</v>
      </c>
      <c r="C10" s="30" t="s">
        <v>80</v>
      </c>
      <c r="D10" s="18"/>
      <c r="E10" s="1"/>
      <c r="F10" s="1"/>
      <c r="G10" s="1"/>
      <c r="H10" s="1"/>
      <c r="I10" s="1"/>
      <c r="J10" s="1"/>
      <c r="K10" s="1"/>
      <c r="M10" s="19"/>
    </row>
    <row r="11" spans="1:13">
      <c r="A11" s="4" t="s">
        <v>141</v>
      </c>
      <c r="B11" s="4">
        <v>2000</v>
      </c>
      <c r="C11" s="30" t="s">
        <v>80</v>
      </c>
      <c r="D11" s="18"/>
      <c r="E11" s="1"/>
      <c r="F11" s="1"/>
      <c r="G11" s="1"/>
      <c r="H11" s="1"/>
      <c r="I11" s="1"/>
      <c r="J11" s="1"/>
      <c r="K11" s="1"/>
      <c r="M11" s="19"/>
    </row>
    <row r="12" spans="1:13">
      <c r="A12" s="4" t="s">
        <v>60</v>
      </c>
      <c r="B12" s="4">
        <v>2000</v>
      </c>
      <c r="C12" s="30" t="s">
        <v>80</v>
      </c>
      <c r="D12" s="18"/>
      <c r="E12" s="1"/>
      <c r="F12" s="1"/>
      <c r="G12" s="1"/>
      <c r="H12" s="1"/>
      <c r="I12" s="1"/>
      <c r="J12" s="1"/>
      <c r="K12" s="1"/>
      <c r="M12" s="19"/>
    </row>
    <row r="13" spans="1:13">
      <c r="A13" s="2" t="s">
        <v>14</v>
      </c>
      <c r="B13" s="28">
        <f>SUM(B9:B12)</f>
        <v>11000</v>
      </c>
      <c r="C13" s="30" t="s">
        <v>80</v>
      </c>
      <c r="D13" s="18"/>
      <c r="E13" s="1"/>
      <c r="F13" s="1"/>
      <c r="G13" s="1"/>
      <c r="H13" s="1"/>
      <c r="I13" s="1"/>
      <c r="J13" s="1"/>
      <c r="K13" s="1"/>
      <c r="M13" s="19"/>
    </row>
    <row r="14" spans="1:13">
      <c r="A14" s="1"/>
      <c r="B14" s="29"/>
      <c r="C14" s="1"/>
      <c r="D14" s="1"/>
      <c r="E14" s="1"/>
      <c r="F14" s="1"/>
      <c r="G14" s="1"/>
      <c r="H14" s="1"/>
      <c r="I14" s="1"/>
      <c r="J14" s="1"/>
      <c r="L14" s="19"/>
    </row>
    <row r="15" spans="1:13">
      <c r="A15" s="4" t="s">
        <v>15</v>
      </c>
      <c r="B15" s="4" t="s">
        <v>10</v>
      </c>
      <c r="C15" s="4" t="s">
        <v>139</v>
      </c>
      <c r="D15" s="27" t="s">
        <v>92</v>
      </c>
      <c r="E15" s="1"/>
      <c r="F15" s="1"/>
      <c r="G15" s="1"/>
      <c r="H15" s="1"/>
      <c r="I15" s="1"/>
      <c r="J15" s="1"/>
      <c r="K15" s="1"/>
      <c r="M15" s="19"/>
    </row>
    <row r="16" spans="1:13">
      <c r="A16" s="10" t="s">
        <v>16</v>
      </c>
      <c r="B16" s="10">
        <v>5000</v>
      </c>
      <c r="C16" s="10"/>
      <c r="D16" s="18"/>
      <c r="E16" s="1"/>
      <c r="F16" s="1"/>
      <c r="G16" s="1"/>
      <c r="H16" s="1"/>
      <c r="I16" s="1"/>
      <c r="J16" s="1"/>
      <c r="K16" s="1"/>
      <c r="M16" s="19"/>
    </row>
    <row r="17" spans="1:13">
      <c r="A17" s="23" t="s">
        <v>17</v>
      </c>
      <c r="B17" s="34">
        <v>1200</v>
      </c>
      <c r="C17" s="34"/>
      <c r="D17" s="18"/>
      <c r="E17" s="1"/>
      <c r="F17" s="1"/>
      <c r="G17" s="1"/>
      <c r="H17" s="1"/>
      <c r="I17" s="1"/>
      <c r="J17" s="1"/>
      <c r="K17" s="1"/>
      <c r="M17" s="19"/>
    </row>
    <row r="18" spans="1:13">
      <c r="A18" s="23" t="s">
        <v>41</v>
      </c>
      <c r="B18" s="23">
        <v>1180</v>
      </c>
      <c r="C18" s="23"/>
      <c r="D18" s="18"/>
      <c r="E18" s="1"/>
      <c r="F18" s="1"/>
      <c r="G18" s="1"/>
      <c r="H18" s="1"/>
      <c r="I18" s="1"/>
      <c r="J18" s="1"/>
      <c r="K18" s="1"/>
    </row>
    <row r="19" spans="1:13">
      <c r="A19" s="1" t="s">
        <v>13</v>
      </c>
      <c r="B19" s="1">
        <v>2000</v>
      </c>
      <c r="C19" s="1"/>
      <c r="D19" s="18"/>
      <c r="E19" s="1"/>
      <c r="F19" s="1"/>
      <c r="G19" s="1"/>
      <c r="H19" s="1"/>
      <c r="I19" s="1"/>
      <c r="J19" s="1"/>
      <c r="K19" s="1"/>
    </row>
    <row r="20" spans="1:13">
      <c r="A20" s="23" t="s">
        <v>19</v>
      </c>
      <c r="B20" s="23">
        <v>500</v>
      </c>
      <c r="C20" s="23"/>
      <c r="D20" s="18"/>
      <c r="E20" s="1"/>
      <c r="F20" s="1"/>
      <c r="G20" s="1"/>
      <c r="H20" s="1"/>
      <c r="I20" s="1"/>
      <c r="J20" s="1"/>
      <c r="K20" s="1"/>
    </row>
    <row r="21" spans="1:13">
      <c r="A21" s="10" t="s">
        <v>142</v>
      </c>
      <c r="B21" s="10">
        <v>1000</v>
      </c>
      <c r="C21" s="10"/>
      <c r="D21" s="18" t="s">
        <v>80</v>
      </c>
      <c r="E21" s="1"/>
      <c r="F21" s="1"/>
      <c r="G21" s="1"/>
      <c r="H21" s="1"/>
      <c r="I21" s="1"/>
      <c r="J21" s="1"/>
      <c r="K21" s="1"/>
    </row>
    <row r="22" spans="1:13">
      <c r="A22" s="23" t="s">
        <v>63</v>
      </c>
      <c r="B22" s="23">
        <v>1500</v>
      </c>
      <c r="C22" s="23"/>
      <c r="D22" s="18"/>
      <c r="E22" s="1"/>
      <c r="F22" s="1"/>
      <c r="G22" s="1"/>
      <c r="H22" s="1"/>
      <c r="I22" s="1"/>
      <c r="J22" s="1"/>
      <c r="K22" s="1"/>
    </row>
    <row r="23" spans="1:13">
      <c r="A23" s="23" t="s">
        <v>64</v>
      </c>
      <c r="B23" s="23">
        <v>3700</v>
      </c>
      <c r="C23" s="23"/>
      <c r="D23" s="18"/>
      <c r="E23" s="1"/>
      <c r="F23" s="1"/>
      <c r="G23" s="1"/>
      <c r="H23" s="1"/>
      <c r="I23" s="1"/>
      <c r="J23" s="1"/>
      <c r="K23" s="1"/>
    </row>
    <row r="24" spans="1:13">
      <c r="A24" s="2" t="s">
        <v>14</v>
      </c>
      <c r="B24" s="2">
        <f>SUM(B16:B23)</f>
        <v>16080</v>
      </c>
      <c r="C24" s="2"/>
      <c r="D24" s="18"/>
      <c r="E24" s="1"/>
      <c r="F24" s="1"/>
      <c r="G24" s="1"/>
      <c r="H24" s="1"/>
      <c r="I24" s="1"/>
      <c r="J24" s="1"/>
      <c r="K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3">
      <c r="A26" s="5" t="s">
        <v>22</v>
      </c>
      <c r="B26" s="6" t="s">
        <v>10</v>
      </c>
      <c r="C26" s="4" t="s">
        <v>101</v>
      </c>
      <c r="D26" s="1"/>
      <c r="E26" s="1"/>
      <c r="F26" s="1"/>
      <c r="G26" s="1"/>
      <c r="H26" s="1"/>
      <c r="I26" s="1"/>
      <c r="J26" s="1"/>
    </row>
    <row r="27" spans="1:13">
      <c r="A27" s="10" t="s">
        <v>26</v>
      </c>
      <c r="B27" s="31">
        <v>5000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3">
      <c r="A28" s="10" t="s">
        <v>27</v>
      </c>
      <c r="B28" s="10">
        <v>1000</v>
      </c>
      <c r="C28" s="26" t="s">
        <v>118</v>
      </c>
      <c r="D28" s="1"/>
      <c r="E28" s="1"/>
      <c r="F28" s="1"/>
      <c r="G28" s="1"/>
      <c r="H28" s="1"/>
      <c r="I28" s="1"/>
      <c r="J28" s="1"/>
    </row>
    <row r="29" spans="1:13">
      <c r="A29" s="1" t="s">
        <v>127</v>
      </c>
      <c r="B29" s="1">
        <v>5000</v>
      </c>
      <c r="C29" s="18" t="s">
        <v>80</v>
      </c>
      <c r="D29" s="1"/>
      <c r="E29" s="1"/>
      <c r="F29" s="1"/>
      <c r="G29" s="1"/>
      <c r="H29" s="1"/>
      <c r="I29" s="1"/>
      <c r="J29" s="1"/>
    </row>
    <row r="30" spans="1:13">
      <c r="A30" s="10" t="s">
        <v>65</v>
      </c>
      <c r="B30" s="10">
        <v>500</v>
      </c>
      <c r="C30" s="26" t="s">
        <v>118</v>
      </c>
      <c r="D30" s="1"/>
      <c r="E30" s="1"/>
      <c r="F30" s="1"/>
      <c r="G30" s="1"/>
      <c r="H30" s="1"/>
      <c r="I30" s="1"/>
      <c r="J30" s="1"/>
    </row>
    <row r="31" spans="1:13">
      <c r="A31" s="1" t="s">
        <v>28</v>
      </c>
      <c r="B31" s="1">
        <v>300</v>
      </c>
      <c r="C31" s="18"/>
      <c r="D31" s="1"/>
      <c r="E31" s="1"/>
      <c r="F31" s="1"/>
      <c r="G31" s="1"/>
      <c r="H31" s="1"/>
      <c r="I31" s="1"/>
      <c r="J31" s="1"/>
    </row>
    <row r="32" spans="1:13">
      <c r="A32" s="10" t="s">
        <v>24</v>
      </c>
      <c r="B32" s="31">
        <v>3000</v>
      </c>
      <c r="C32" s="26" t="s">
        <v>118</v>
      </c>
      <c r="D32" s="1"/>
      <c r="E32" s="1"/>
      <c r="F32" s="1"/>
      <c r="G32" s="1"/>
      <c r="H32" s="1"/>
      <c r="I32" s="1"/>
      <c r="J32" s="1"/>
    </row>
    <row r="33" spans="1:10">
      <c r="A33" s="2" t="s">
        <v>14</v>
      </c>
      <c r="B33" s="2">
        <f>SUM(B27:B32)</f>
        <v>14800</v>
      </c>
      <c r="C33" s="18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D40" s="1"/>
      <c r="E40" s="1"/>
      <c r="F40" s="1"/>
      <c r="G40" s="1"/>
      <c r="H40" s="1"/>
      <c r="I40" s="1"/>
      <c r="J40" s="1"/>
    </row>
    <row r="41" spans="1:10">
      <c r="D41" s="1"/>
      <c r="E41" s="1"/>
      <c r="F41" s="1"/>
      <c r="G41" s="1"/>
      <c r="H41" s="1"/>
      <c r="I41" s="1"/>
      <c r="J41" s="1"/>
    </row>
    <row r="42" spans="1:10">
      <c r="D42" s="1"/>
      <c r="E42" s="1"/>
      <c r="F42" s="1"/>
      <c r="G42" s="1"/>
      <c r="H42" s="1"/>
      <c r="I42" s="1"/>
      <c r="J42" s="1"/>
    </row>
    <row r="43" spans="1:10">
      <c r="D43" s="1"/>
      <c r="E43" s="1"/>
      <c r="F43" s="1"/>
      <c r="G43" s="1"/>
      <c r="H43" s="1"/>
      <c r="I43" s="1"/>
      <c r="J43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B828-D8F1-1647-9871-376AEC7B85BE}">
  <dimension ref="A2:M43"/>
  <sheetViews>
    <sheetView topLeftCell="A13" zoomScale="130" zoomScaleNormal="130" workbookViewId="0">
      <selection activeCell="A38" sqref="A38"/>
    </sheetView>
  </sheetViews>
  <sheetFormatPr defaultRowHeight="15"/>
  <cols>
    <col min="1" max="1" width="21.85546875" customWidth="1"/>
    <col min="2" max="2" width="20.7109375" customWidth="1"/>
    <col min="3" max="3" width="7.7109375" customWidth="1"/>
    <col min="4" max="4" width="20.42578125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3">
      <c r="A2" s="35">
        <f ca="1">TODAY()</f>
        <v>46288</v>
      </c>
      <c r="B2" s="36"/>
    </row>
    <row r="3" spans="1:13">
      <c r="A3" s="36"/>
      <c r="B3" s="36"/>
      <c r="C3" s="37" t="s">
        <v>1</v>
      </c>
      <c r="D3" s="37"/>
      <c r="E3" s="37"/>
    </row>
    <row r="5" spans="1:13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3">
      <c r="A6" s="13">
        <f>34361.25+19057.5</f>
        <v>53418.75</v>
      </c>
      <c r="B6" s="13">
        <f>Tabela11014182226303438424650545862667074788286909498102106110114118122126134138142146150154158162170174178182186190194198202206210214218[ENTRADA]*3/100</f>
        <v>1602.5625</v>
      </c>
      <c r="C6" s="13">
        <f>Tabela11014182226303438424650545862667074788286909498102106110114118122126134138142146150154158162170174178182186190194198202206210214218[ENTRADA]*10/100</f>
        <v>5341.875</v>
      </c>
      <c r="D6" s="11">
        <f>Tabela11014182226303438424650545862667074788286909498102106110114118122126134138142146150154158162170174178182186190194198202206210214218[ENTRADA]-(Tabela11014182226303438424650545862667074788286909498102106110114118122126134138142146150154158162170174178182186190194198202206210214218[INSS 3%]+Tabela11014182226303438424650545862667074788286909498102106110114118122126134138142146150154158162170174178182186190194198202206210214218[DIZIMO 10%])</f>
        <v>46474.3125</v>
      </c>
      <c r="E6" s="8">
        <f>Tabela11014182226303438424650545862667074788286909498102106110114118122126134138142146150154158162170174178182186190194198202206210214218[Renda 87%]-(B13+B24+B33)</f>
        <v>11594.3125</v>
      </c>
      <c r="F6" s="11"/>
      <c r="G6" s="11"/>
      <c r="H6" s="11"/>
      <c r="I6" s="7">
        <f>B13+B24+B33</f>
        <v>34880</v>
      </c>
      <c r="J6" s="9">
        <f>Tabela11014182226303438424650545862667074788286909498102106110114118122126134138142146150154158162170174178182186190194198202206210214218[Saldo Final]+I6</f>
        <v>46474.3125</v>
      </c>
    </row>
    <row r="7" spans="1:13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3">
      <c r="A8" s="3" t="s">
        <v>9</v>
      </c>
      <c r="B8" s="4" t="s">
        <v>10</v>
      </c>
      <c r="C8" s="4" t="s">
        <v>92</v>
      </c>
      <c r="D8" s="4" t="s">
        <v>101</v>
      </c>
      <c r="E8" s="1"/>
      <c r="F8" s="1"/>
      <c r="G8" s="1"/>
      <c r="H8" s="1"/>
      <c r="I8" s="1"/>
      <c r="J8" s="1"/>
      <c r="K8" s="1"/>
      <c r="M8" s="19"/>
    </row>
    <row r="9" spans="1:13">
      <c r="A9" s="4" t="s">
        <v>59</v>
      </c>
      <c r="B9" s="30"/>
      <c r="C9" s="30" t="s">
        <v>80</v>
      </c>
      <c r="D9" s="18"/>
      <c r="E9" s="1"/>
      <c r="F9" s="1"/>
      <c r="G9" s="1"/>
      <c r="H9" s="1"/>
      <c r="I9" s="1"/>
      <c r="J9" s="1"/>
      <c r="K9" s="1"/>
      <c r="M9" s="19"/>
    </row>
    <row r="10" spans="1:13">
      <c r="A10" s="4" t="s">
        <v>140</v>
      </c>
      <c r="B10" s="4"/>
      <c r="C10" s="30" t="s">
        <v>80</v>
      </c>
      <c r="D10" s="18"/>
      <c r="E10" s="1"/>
      <c r="F10" s="1"/>
      <c r="G10" s="1"/>
      <c r="H10" s="1"/>
      <c r="I10" s="1"/>
      <c r="J10" s="1"/>
      <c r="K10" s="1"/>
      <c r="M10" s="19"/>
    </row>
    <row r="11" spans="1:13">
      <c r="A11" s="4" t="s">
        <v>141</v>
      </c>
      <c r="B11" s="4"/>
      <c r="C11" s="30" t="s">
        <v>80</v>
      </c>
      <c r="D11" s="18"/>
      <c r="E11" s="1"/>
      <c r="F11" s="1"/>
      <c r="G11" s="1"/>
      <c r="H11" s="1"/>
      <c r="I11" s="1"/>
      <c r="J11" s="1"/>
      <c r="K11" s="1"/>
      <c r="M11" s="19"/>
    </row>
    <row r="12" spans="1:13">
      <c r="A12" s="4" t="s">
        <v>60</v>
      </c>
      <c r="B12" s="4">
        <v>1000</v>
      </c>
      <c r="C12" s="30" t="s">
        <v>80</v>
      </c>
      <c r="D12" s="18"/>
      <c r="E12" s="1"/>
      <c r="F12" s="1"/>
      <c r="G12" s="1"/>
      <c r="H12" s="1"/>
      <c r="I12" s="1"/>
      <c r="J12" s="1"/>
      <c r="K12" s="1"/>
      <c r="M12" s="19"/>
    </row>
    <row r="13" spans="1:13">
      <c r="A13" s="2" t="s">
        <v>14</v>
      </c>
      <c r="B13" s="28">
        <f>SUM(B9:B12)</f>
        <v>1000</v>
      </c>
      <c r="C13" s="30" t="s">
        <v>80</v>
      </c>
      <c r="D13" s="18"/>
      <c r="E13" s="1"/>
      <c r="F13" s="1"/>
      <c r="G13" s="1"/>
      <c r="H13" s="1"/>
      <c r="I13" s="1"/>
      <c r="J13" s="1"/>
      <c r="K13" s="1"/>
      <c r="M13" s="19"/>
    </row>
    <row r="14" spans="1:13">
      <c r="A14" s="1"/>
      <c r="B14" s="29"/>
      <c r="C14" s="1"/>
      <c r="D14" s="1"/>
      <c r="E14" s="1"/>
      <c r="F14" s="1"/>
      <c r="G14" s="1"/>
      <c r="H14" s="1"/>
      <c r="I14" s="1"/>
      <c r="J14" s="1"/>
      <c r="L14" s="19"/>
    </row>
    <row r="15" spans="1:13">
      <c r="A15" s="4" t="s">
        <v>15</v>
      </c>
      <c r="B15" s="4" t="s">
        <v>10</v>
      </c>
      <c r="C15" s="4" t="s">
        <v>139</v>
      </c>
      <c r="D15" s="27" t="s">
        <v>92</v>
      </c>
      <c r="E15" s="1"/>
      <c r="F15" s="1"/>
      <c r="G15" s="1"/>
      <c r="H15" s="1"/>
      <c r="I15" s="1"/>
      <c r="J15" s="1"/>
      <c r="K15" s="1"/>
      <c r="M15" s="19"/>
    </row>
    <row r="16" spans="1:13">
      <c r="A16" s="10" t="s">
        <v>16</v>
      </c>
      <c r="B16" s="10">
        <v>5000</v>
      </c>
      <c r="C16" s="10"/>
      <c r="D16" s="18"/>
      <c r="E16" s="1"/>
      <c r="F16" s="1"/>
      <c r="G16" s="1"/>
      <c r="H16" s="1"/>
      <c r="I16" s="1"/>
      <c r="J16" s="1"/>
      <c r="K16" s="1"/>
      <c r="M16" s="19"/>
    </row>
    <row r="17" spans="1:13">
      <c r="A17" s="23" t="s">
        <v>17</v>
      </c>
      <c r="B17" s="34">
        <v>1200</v>
      </c>
      <c r="C17" s="34"/>
      <c r="D17" s="18"/>
      <c r="E17" s="1"/>
      <c r="F17" s="1"/>
      <c r="G17" s="1"/>
      <c r="H17" s="1"/>
      <c r="I17" s="1"/>
      <c r="J17" s="1"/>
      <c r="K17" s="1"/>
      <c r="M17" s="19"/>
    </row>
    <row r="18" spans="1:13">
      <c r="A18" s="23" t="s">
        <v>41</v>
      </c>
      <c r="B18" s="23">
        <v>1180</v>
      </c>
      <c r="C18" s="23"/>
      <c r="D18" s="18"/>
      <c r="E18" s="1"/>
      <c r="F18" s="1"/>
      <c r="G18" s="1"/>
      <c r="H18" s="1"/>
      <c r="I18" s="1"/>
      <c r="J18" s="1"/>
      <c r="K18" s="1"/>
    </row>
    <row r="19" spans="1:13">
      <c r="A19" s="1" t="s">
        <v>13</v>
      </c>
      <c r="B19" s="1">
        <v>2000</v>
      </c>
      <c r="C19" s="1"/>
      <c r="D19" s="18"/>
      <c r="E19" s="1"/>
      <c r="F19" s="1"/>
      <c r="G19" s="1"/>
      <c r="H19" s="1"/>
      <c r="I19" s="1"/>
      <c r="J19" s="1"/>
      <c r="K19" s="1"/>
    </row>
    <row r="20" spans="1:13">
      <c r="A20" s="23" t="s">
        <v>19</v>
      </c>
      <c r="B20" s="23">
        <v>500</v>
      </c>
      <c r="C20" s="23"/>
      <c r="D20" s="18"/>
      <c r="E20" s="1"/>
      <c r="F20" s="1"/>
      <c r="G20" s="1"/>
      <c r="H20" s="1"/>
      <c r="I20" s="1"/>
      <c r="J20" s="1"/>
      <c r="K20" s="1"/>
    </row>
    <row r="21" spans="1:13">
      <c r="A21" s="10" t="s">
        <v>73</v>
      </c>
      <c r="B21" s="10">
        <v>5000</v>
      </c>
      <c r="C21" s="10"/>
      <c r="D21" s="18" t="s">
        <v>80</v>
      </c>
      <c r="E21" s="1"/>
      <c r="F21" s="1"/>
      <c r="G21" s="1"/>
      <c r="H21" s="1"/>
      <c r="I21" s="1"/>
      <c r="J21" s="1"/>
      <c r="K21" s="1"/>
    </row>
    <row r="22" spans="1:13">
      <c r="A22" s="23" t="s">
        <v>63</v>
      </c>
      <c r="B22" s="23">
        <v>1500</v>
      </c>
      <c r="C22" s="23"/>
      <c r="D22" s="18"/>
      <c r="E22" s="1"/>
      <c r="F22" s="1"/>
      <c r="G22" s="1"/>
      <c r="H22" s="1"/>
      <c r="I22" s="1"/>
      <c r="J22" s="1"/>
      <c r="K22" s="1"/>
    </row>
    <row r="23" spans="1:13">
      <c r="A23" s="23" t="s">
        <v>64</v>
      </c>
      <c r="B23" s="23">
        <v>3700</v>
      </c>
      <c r="C23" s="23"/>
      <c r="D23" s="18"/>
      <c r="E23" s="1"/>
      <c r="F23" s="1"/>
      <c r="G23" s="1"/>
      <c r="H23" s="1"/>
      <c r="I23" s="1"/>
      <c r="J23" s="1"/>
      <c r="K23" s="1"/>
    </row>
    <row r="24" spans="1:13">
      <c r="A24" s="2" t="s">
        <v>14</v>
      </c>
      <c r="B24" s="2">
        <f>SUM(B16:B23)</f>
        <v>20080</v>
      </c>
      <c r="C24" s="2"/>
      <c r="D24" s="18"/>
      <c r="E24" s="1"/>
      <c r="F24" s="1"/>
      <c r="G24" s="1"/>
      <c r="H24" s="1"/>
      <c r="I24" s="1"/>
      <c r="J24" s="1"/>
      <c r="K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3">
      <c r="A26" s="5" t="s">
        <v>22</v>
      </c>
      <c r="B26" s="6" t="s">
        <v>10</v>
      </c>
      <c r="C26" s="4" t="s">
        <v>101</v>
      </c>
      <c r="D26" s="1"/>
      <c r="E26" s="1"/>
      <c r="F26" s="1"/>
      <c r="G26" s="1"/>
      <c r="H26" s="1"/>
      <c r="I26" s="1"/>
      <c r="J26" s="1"/>
    </row>
    <row r="27" spans="1:13">
      <c r="A27" s="10" t="s">
        <v>26</v>
      </c>
      <c r="B27" s="31">
        <v>5000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3">
      <c r="A28" s="10" t="s">
        <v>27</v>
      </c>
      <c r="B28" s="10">
        <v>1000</v>
      </c>
      <c r="C28" s="26" t="s">
        <v>118</v>
      </c>
      <c r="D28" s="1"/>
      <c r="E28" s="1"/>
      <c r="F28" s="1"/>
      <c r="G28" s="1"/>
      <c r="H28" s="1"/>
      <c r="I28" s="1"/>
      <c r="J28" s="1"/>
    </row>
    <row r="29" spans="1:13">
      <c r="A29" s="1" t="s">
        <v>127</v>
      </c>
      <c r="B29" s="1">
        <v>5000</v>
      </c>
      <c r="C29" s="18" t="s">
        <v>80</v>
      </c>
      <c r="D29" s="1"/>
      <c r="E29" s="1"/>
      <c r="F29" s="1"/>
      <c r="G29" s="1"/>
      <c r="H29" s="1"/>
      <c r="I29" s="1"/>
      <c r="J29" s="1"/>
    </row>
    <row r="30" spans="1:13">
      <c r="A30" s="10" t="s">
        <v>65</v>
      </c>
      <c r="B30" s="10">
        <v>500</v>
      </c>
      <c r="C30" s="26" t="s">
        <v>118</v>
      </c>
      <c r="D30" s="1"/>
      <c r="E30" s="1"/>
      <c r="F30" s="1"/>
      <c r="G30" s="1"/>
      <c r="H30" s="1"/>
      <c r="I30" s="1"/>
      <c r="J30" s="1"/>
    </row>
    <row r="31" spans="1:13">
      <c r="A31" s="1" t="s">
        <v>28</v>
      </c>
      <c r="B31" s="1">
        <v>300</v>
      </c>
      <c r="C31" s="18"/>
      <c r="D31" s="1"/>
      <c r="E31" s="1"/>
      <c r="F31" s="1"/>
      <c r="G31" s="1"/>
      <c r="H31" s="1"/>
      <c r="I31" s="1"/>
      <c r="J31" s="1"/>
    </row>
    <row r="32" spans="1:13">
      <c r="A32" s="10" t="s">
        <v>24</v>
      </c>
      <c r="B32" s="31">
        <v>2000</v>
      </c>
      <c r="C32" s="26" t="s">
        <v>118</v>
      </c>
      <c r="D32" s="1"/>
      <c r="E32" s="1"/>
      <c r="F32" s="1"/>
      <c r="G32" s="1"/>
      <c r="H32" s="1"/>
      <c r="I32" s="1"/>
      <c r="J32" s="1"/>
    </row>
    <row r="33" spans="1:10">
      <c r="A33" s="2" t="s">
        <v>14</v>
      </c>
      <c r="B33" s="2">
        <f>SUM(B27:B32)</f>
        <v>13800</v>
      </c>
      <c r="C33" s="18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D40" s="1"/>
      <c r="E40" s="1"/>
      <c r="F40" s="1"/>
      <c r="G40" s="1"/>
      <c r="H40" s="1"/>
      <c r="I40" s="1"/>
      <c r="J40" s="1"/>
    </row>
    <row r="41" spans="1:10">
      <c r="D41" s="1"/>
      <c r="E41" s="1"/>
      <c r="F41" s="1"/>
      <c r="G41" s="1"/>
      <c r="H41" s="1"/>
      <c r="I41" s="1"/>
      <c r="J41" s="1"/>
    </row>
    <row r="42" spans="1:10">
      <c r="D42" s="1"/>
      <c r="E42" s="1"/>
      <c r="F42" s="1"/>
      <c r="G42" s="1"/>
      <c r="H42" s="1"/>
      <c r="I42" s="1"/>
      <c r="J42" s="1"/>
    </row>
    <row r="43" spans="1:10">
      <c r="D43" s="1"/>
      <c r="E43" s="1"/>
      <c r="F43" s="1"/>
      <c r="G43" s="1"/>
      <c r="H43" s="1"/>
      <c r="I43" s="1"/>
      <c r="J43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F7B7-7702-394F-8635-8C90AED0E5F8}">
  <dimension ref="A2:M43"/>
  <sheetViews>
    <sheetView zoomScale="130" zoomScaleNormal="130" workbookViewId="0">
      <selection activeCell="B12" sqref="B12"/>
    </sheetView>
  </sheetViews>
  <sheetFormatPr defaultRowHeight="15"/>
  <cols>
    <col min="1" max="1" width="21.85546875" customWidth="1"/>
    <col min="2" max="2" width="20.7109375" customWidth="1"/>
    <col min="3" max="3" width="7.7109375" customWidth="1"/>
    <col min="4" max="4" width="20.42578125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3">
      <c r="A2" s="35">
        <f ca="1">TODAY()</f>
        <v>46288</v>
      </c>
      <c r="B2" s="36"/>
    </row>
    <row r="3" spans="1:13">
      <c r="A3" s="36"/>
      <c r="B3" s="36"/>
      <c r="C3" s="37" t="s">
        <v>1</v>
      </c>
      <c r="D3" s="37"/>
      <c r="E3" s="37"/>
    </row>
    <row r="5" spans="1:13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3">
      <c r="A6" s="13">
        <f>34361.25+19057.5</f>
        <v>53418.75</v>
      </c>
      <c r="B6" s="13">
        <f>Tabela11014182226303438424650545862667074788286909498102106110114118122126134138142146150154158162170174178182186190194198202206210214218222[ENTRADA]*3/100</f>
        <v>1602.5625</v>
      </c>
      <c r="C6" s="13">
        <f>Tabela11014182226303438424650545862667074788286909498102106110114118122126134138142146150154158162170174178182186190194198202206210214218222[ENTRADA]*10/100</f>
        <v>5341.875</v>
      </c>
      <c r="D6" s="11">
        <f>Tabela11014182226303438424650545862667074788286909498102106110114118122126134138142146150154158162170174178182186190194198202206210214218222[ENTRADA]-(Tabela11014182226303438424650545862667074788286909498102106110114118122126134138142146150154158162170174178182186190194198202206210214218222[INSS 3%]+Tabela11014182226303438424650545862667074788286909498102106110114118122126134138142146150154158162170174178182186190194198202206210214218222[DIZIMO 10%])</f>
        <v>46474.3125</v>
      </c>
      <c r="E6" s="8">
        <f>Tabela11014182226303438424650545862667074788286909498102106110114118122126134138142146150154158162170174178182186190194198202206210214218222[Renda 87%]-(B13+B24+B33)</f>
        <v>12594.3125</v>
      </c>
      <c r="F6" s="11"/>
      <c r="G6" s="11"/>
      <c r="H6" s="11"/>
      <c r="I6" s="7">
        <f>B13+B24+B33</f>
        <v>33880</v>
      </c>
      <c r="J6" s="9">
        <f>Tabela11014182226303438424650545862667074788286909498102106110114118122126134138142146150154158162170174178182186190194198202206210214218222[Saldo Final]+I6</f>
        <v>46474.3125</v>
      </c>
    </row>
    <row r="7" spans="1:13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3">
      <c r="A8" s="3" t="s">
        <v>9</v>
      </c>
      <c r="B8" s="4" t="s">
        <v>10</v>
      </c>
      <c r="C8" s="4" t="s">
        <v>92</v>
      </c>
      <c r="D8" s="4" t="s">
        <v>101</v>
      </c>
      <c r="E8" s="1"/>
      <c r="F8" s="1"/>
      <c r="G8" s="1"/>
      <c r="H8" s="1"/>
      <c r="I8" s="1"/>
      <c r="J8" s="1"/>
      <c r="K8" s="1"/>
      <c r="M8" s="19"/>
    </row>
    <row r="9" spans="1:13">
      <c r="A9" s="4" t="s">
        <v>59</v>
      </c>
      <c r="B9" s="30"/>
      <c r="C9" s="30" t="s">
        <v>80</v>
      </c>
      <c r="D9" s="18"/>
      <c r="E9" s="1"/>
      <c r="F9" s="1"/>
      <c r="G9" s="1"/>
      <c r="H9" s="1"/>
      <c r="I9" s="1"/>
      <c r="J9" s="1"/>
      <c r="K9" s="1"/>
      <c r="M9" s="19"/>
    </row>
    <row r="10" spans="1:13">
      <c r="A10" s="4" t="s">
        <v>140</v>
      </c>
      <c r="B10" s="4"/>
      <c r="C10" s="30" t="s">
        <v>80</v>
      </c>
      <c r="D10" s="18"/>
      <c r="E10" s="1"/>
      <c r="F10" s="1"/>
      <c r="G10" s="1"/>
      <c r="H10" s="1"/>
      <c r="I10" s="1"/>
      <c r="J10" s="1"/>
      <c r="K10" s="1"/>
      <c r="M10" s="19"/>
    </row>
    <row r="11" spans="1:13">
      <c r="A11" s="4" t="s">
        <v>141</v>
      </c>
      <c r="B11" s="4"/>
      <c r="C11" s="30" t="s">
        <v>80</v>
      </c>
      <c r="D11" s="18"/>
      <c r="E11" s="1"/>
      <c r="F11" s="1"/>
      <c r="G11" s="1"/>
      <c r="H11" s="1"/>
      <c r="I11" s="1"/>
      <c r="J11" s="1"/>
      <c r="K11" s="1"/>
      <c r="M11" s="19"/>
    </row>
    <row r="12" spans="1:13">
      <c r="A12" s="4" t="s">
        <v>60</v>
      </c>
      <c r="B12" s="4"/>
      <c r="C12" s="30" t="s">
        <v>80</v>
      </c>
      <c r="D12" s="18"/>
      <c r="E12" s="1"/>
      <c r="F12" s="1"/>
      <c r="G12" s="1"/>
      <c r="H12" s="1"/>
      <c r="I12" s="1"/>
      <c r="J12" s="1"/>
      <c r="K12" s="1"/>
      <c r="M12" s="19"/>
    </row>
    <row r="13" spans="1:13">
      <c r="A13" s="2" t="s">
        <v>14</v>
      </c>
      <c r="B13" s="28">
        <f>SUM(B9:B12)</f>
        <v>0</v>
      </c>
      <c r="C13" s="30" t="s">
        <v>80</v>
      </c>
      <c r="D13" s="18"/>
      <c r="E13" s="1"/>
      <c r="F13" s="1"/>
      <c r="G13" s="1"/>
      <c r="H13" s="1"/>
      <c r="I13" s="1"/>
      <c r="J13" s="1"/>
      <c r="K13" s="1"/>
      <c r="M13" s="19"/>
    </row>
    <row r="14" spans="1:13">
      <c r="A14" s="1"/>
      <c r="B14" s="29"/>
      <c r="C14" s="1"/>
      <c r="D14" s="1"/>
      <c r="E14" s="1"/>
      <c r="F14" s="1"/>
      <c r="G14" s="1"/>
      <c r="H14" s="1"/>
      <c r="I14" s="1"/>
      <c r="J14" s="1"/>
      <c r="L14" s="19"/>
    </row>
    <row r="15" spans="1:13">
      <c r="A15" s="4" t="s">
        <v>15</v>
      </c>
      <c r="B15" s="4" t="s">
        <v>10</v>
      </c>
      <c r="C15" s="4" t="s">
        <v>139</v>
      </c>
      <c r="D15" s="27" t="s">
        <v>92</v>
      </c>
      <c r="E15" s="1"/>
      <c r="F15" s="1"/>
      <c r="G15" s="1"/>
      <c r="H15" s="1"/>
      <c r="I15" s="1"/>
      <c r="J15" s="1"/>
      <c r="K15" s="1"/>
      <c r="M15" s="19"/>
    </row>
    <row r="16" spans="1:13">
      <c r="A16" s="10" t="s">
        <v>16</v>
      </c>
      <c r="B16" s="10">
        <v>5000</v>
      </c>
      <c r="C16" s="10"/>
      <c r="D16" s="18"/>
      <c r="E16" s="1"/>
      <c r="F16" s="1"/>
      <c r="G16" s="1"/>
      <c r="H16" s="1"/>
      <c r="I16" s="1"/>
      <c r="J16" s="1"/>
      <c r="K16" s="1"/>
      <c r="M16" s="19"/>
    </row>
    <row r="17" spans="1:13">
      <c r="A17" s="23" t="s">
        <v>17</v>
      </c>
      <c r="B17" s="34">
        <v>1200</v>
      </c>
      <c r="C17" s="34"/>
      <c r="D17" s="18"/>
      <c r="E17" s="1"/>
      <c r="F17" s="1"/>
      <c r="G17" s="1"/>
      <c r="H17" s="1"/>
      <c r="I17" s="1"/>
      <c r="J17" s="1"/>
      <c r="K17" s="1"/>
      <c r="M17" s="19"/>
    </row>
    <row r="18" spans="1:13">
      <c r="A18" s="23" t="s">
        <v>41</v>
      </c>
      <c r="B18" s="23">
        <v>1180</v>
      </c>
      <c r="C18" s="23"/>
      <c r="D18" s="18"/>
      <c r="E18" s="1"/>
      <c r="F18" s="1"/>
      <c r="G18" s="1"/>
      <c r="H18" s="1"/>
      <c r="I18" s="1"/>
      <c r="J18" s="1"/>
      <c r="K18" s="1"/>
    </row>
    <row r="19" spans="1:13">
      <c r="A19" s="1" t="s">
        <v>13</v>
      </c>
      <c r="B19" s="1">
        <v>2000</v>
      </c>
      <c r="C19" s="1"/>
      <c r="D19" s="18"/>
      <c r="E19" s="1"/>
      <c r="F19" s="1"/>
      <c r="G19" s="1"/>
      <c r="H19" s="1"/>
      <c r="I19" s="1"/>
      <c r="J19" s="1"/>
      <c r="K19" s="1"/>
    </row>
    <row r="20" spans="1:13">
      <c r="A20" s="23" t="s">
        <v>19</v>
      </c>
      <c r="B20" s="23">
        <v>500</v>
      </c>
      <c r="C20" s="23"/>
      <c r="D20" s="18"/>
      <c r="E20" s="1"/>
      <c r="F20" s="1"/>
      <c r="G20" s="1"/>
      <c r="H20" s="1"/>
      <c r="I20" s="1"/>
      <c r="J20" s="1"/>
      <c r="K20" s="1"/>
    </row>
    <row r="21" spans="1:13">
      <c r="A21" s="10" t="s">
        <v>73</v>
      </c>
      <c r="B21" s="10">
        <v>5000</v>
      </c>
      <c r="C21" s="10"/>
      <c r="D21" s="18" t="s">
        <v>80</v>
      </c>
      <c r="E21" s="1"/>
      <c r="F21" s="1"/>
      <c r="G21" s="1"/>
      <c r="H21" s="1"/>
      <c r="I21" s="1"/>
      <c r="J21" s="1"/>
      <c r="K21" s="1"/>
    </row>
    <row r="22" spans="1:13">
      <c r="A22" s="23" t="s">
        <v>63</v>
      </c>
      <c r="B22" s="23">
        <v>1500</v>
      </c>
      <c r="C22" s="23"/>
      <c r="D22" s="18"/>
      <c r="E22" s="1"/>
      <c r="F22" s="1"/>
      <c r="G22" s="1"/>
      <c r="H22" s="1"/>
      <c r="I22" s="1"/>
      <c r="J22" s="1"/>
      <c r="K22" s="1"/>
    </row>
    <row r="23" spans="1:13">
      <c r="A23" s="23" t="s">
        <v>64</v>
      </c>
      <c r="B23" s="23">
        <v>3700</v>
      </c>
      <c r="C23" s="23"/>
      <c r="D23" s="18"/>
      <c r="E23" s="1"/>
      <c r="F23" s="1"/>
      <c r="G23" s="1"/>
      <c r="H23" s="1"/>
      <c r="I23" s="1"/>
      <c r="J23" s="1"/>
      <c r="K23" s="1"/>
    </row>
    <row r="24" spans="1:13">
      <c r="A24" s="2" t="s">
        <v>14</v>
      </c>
      <c r="B24" s="2">
        <f>SUM(B16:B23)</f>
        <v>20080</v>
      </c>
      <c r="C24" s="2"/>
      <c r="D24" s="18"/>
      <c r="E24" s="1"/>
      <c r="F24" s="1"/>
      <c r="G24" s="1"/>
      <c r="H24" s="1"/>
      <c r="I24" s="1"/>
      <c r="J24" s="1"/>
      <c r="K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3">
      <c r="A26" s="5" t="s">
        <v>22</v>
      </c>
      <c r="B26" s="6" t="s">
        <v>10</v>
      </c>
      <c r="C26" s="4" t="s">
        <v>101</v>
      </c>
      <c r="D26" s="1"/>
      <c r="E26" s="1"/>
      <c r="F26" s="1"/>
      <c r="G26" s="1"/>
      <c r="H26" s="1"/>
      <c r="I26" s="1"/>
      <c r="J26" s="1"/>
    </row>
    <row r="27" spans="1:13">
      <c r="A27" s="10" t="s">
        <v>26</v>
      </c>
      <c r="B27" s="31">
        <v>5000</v>
      </c>
      <c r="C27" s="26" t="s">
        <v>80</v>
      </c>
      <c r="D27" s="1"/>
      <c r="E27" s="1"/>
      <c r="F27" s="1"/>
      <c r="G27" s="1"/>
      <c r="H27" s="1"/>
      <c r="I27" s="1"/>
      <c r="J27" s="1"/>
    </row>
    <row r="28" spans="1:13">
      <c r="A28" s="10" t="s">
        <v>27</v>
      </c>
      <c r="B28" s="10">
        <v>1000</v>
      </c>
      <c r="C28" s="26" t="s">
        <v>118</v>
      </c>
      <c r="D28" s="1"/>
      <c r="E28" s="1"/>
      <c r="F28" s="1"/>
      <c r="G28" s="1"/>
      <c r="H28" s="1"/>
      <c r="I28" s="1"/>
      <c r="J28" s="1"/>
    </row>
    <row r="29" spans="1:13">
      <c r="A29" s="1" t="s">
        <v>127</v>
      </c>
      <c r="B29" s="1">
        <v>5000</v>
      </c>
      <c r="C29" s="18" t="s">
        <v>80</v>
      </c>
      <c r="D29" s="1"/>
      <c r="E29" s="1"/>
      <c r="F29" s="1"/>
      <c r="G29" s="1"/>
      <c r="H29" s="1"/>
      <c r="I29" s="1"/>
      <c r="J29" s="1"/>
    </row>
    <row r="30" spans="1:13">
      <c r="A30" s="10" t="s">
        <v>65</v>
      </c>
      <c r="B30" s="10">
        <v>500</v>
      </c>
      <c r="C30" s="26" t="s">
        <v>118</v>
      </c>
      <c r="D30" s="1"/>
      <c r="E30" s="1"/>
      <c r="F30" s="1"/>
      <c r="G30" s="1"/>
      <c r="H30" s="1"/>
      <c r="I30" s="1"/>
      <c r="J30" s="1"/>
    </row>
    <row r="31" spans="1:13">
      <c r="A31" s="1" t="s">
        <v>28</v>
      </c>
      <c r="B31" s="1">
        <v>300</v>
      </c>
      <c r="C31" s="18"/>
      <c r="D31" s="1"/>
      <c r="E31" s="1"/>
      <c r="F31" s="1"/>
      <c r="G31" s="1"/>
      <c r="H31" s="1"/>
      <c r="I31" s="1"/>
      <c r="J31" s="1"/>
    </row>
    <row r="32" spans="1:13">
      <c r="A32" s="10" t="s">
        <v>24</v>
      </c>
      <c r="B32" s="31">
        <v>2000</v>
      </c>
      <c r="C32" s="26" t="s">
        <v>118</v>
      </c>
      <c r="D32" s="1"/>
      <c r="E32" s="1"/>
      <c r="F32" s="1"/>
      <c r="G32" s="1"/>
      <c r="H32" s="1"/>
      <c r="I32" s="1"/>
      <c r="J32" s="1"/>
    </row>
    <row r="33" spans="1:10">
      <c r="A33" s="2" t="s">
        <v>14</v>
      </c>
      <c r="B33" s="2">
        <f>SUM(B27:B32)</f>
        <v>13800</v>
      </c>
      <c r="C33" s="18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D40" s="1"/>
      <c r="E40" s="1"/>
      <c r="F40" s="1"/>
      <c r="G40" s="1"/>
      <c r="H40" s="1"/>
      <c r="I40" s="1"/>
      <c r="J40" s="1"/>
    </row>
    <row r="41" spans="1:10">
      <c r="D41" s="1"/>
      <c r="E41" s="1"/>
      <c r="F41" s="1"/>
      <c r="G41" s="1"/>
      <c r="H41" s="1"/>
      <c r="I41" s="1"/>
      <c r="J41" s="1"/>
    </row>
    <row r="42" spans="1:10">
      <c r="D42" s="1"/>
      <c r="E42" s="1"/>
      <c r="F42" s="1"/>
      <c r="G42" s="1"/>
      <c r="H42" s="1"/>
      <c r="I42" s="1"/>
      <c r="J42" s="1"/>
    </row>
    <row r="43" spans="1:10">
      <c r="D43" s="1"/>
      <c r="E43" s="1"/>
      <c r="F43" s="1"/>
      <c r="G43" s="1"/>
      <c r="H43" s="1"/>
      <c r="I43" s="1"/>
      <c r="J43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B5D7-7A1F-4EB2-B553-7007E79D18FD}">
  <dimension ref="A2:M42"/>
  <sheetViews>
    <sheetView tabSelected="1" zoomScale="130" zoomScaleNormal="130" workbookViewId="0">
      <selection activeCell="A31" sqref="A31:C31"/>
    </sheetView>
  </sheetViews>
  <sheetFormatPr defaultRowHeight="15"/>
  <cols>
    <col min="1" max="1" width="21.85546875" customWidth="1"/>
    <col min="2" max="2" width="22.5703125" customWidth="1"/>
    <col min="3" max="3" width="13.140625" customWidth="1"/>
    <col min="4" max="4" width="20.42578125" customWidth="1"/>
    <col min="5" max="5" width="18.140625" customWidth="1"/>
    <col min="6" max="6" width="4.140625" hidden="1" customWidth="1"/>
    <col min="7" max="7" width="8.7109375" hidden="1" customWidth="1"/>
    <col min="8" max="8" width="7.28515625" hidden="1" customWidth="1"/>
    <col min="9" max="9" width="15.42578125" customWidth="1"/>
    <col min="10" max="10" width="14.5703125" customWidth="1"/>
  </cols>
  <sheetData>
    <row r="2" spans="1:13">
      <c r="A2" s="35">
        <f ca="1">TODAY()</f>
        <v>46288</v>
      </c>
      <c r="B2" s="36"/>
    </row>
    <row r="3" spans="1:13">
      <c r="A3" s="36"/>
      <c r="B3" s="36"/>
      <c r="C3" s="37" t="s">
        <v>1</v>
      </c>
      <c r="D3" s="37"/>
      <c r="E3" s="37"/>
    </row>
    <row r="5" spans="1:13">
      <c r="A5" s="12" t="s">
        <v>2</v>
      </c>
      <c r="B5" s="11" t="s">
        <v>3</v>
      </c>
      <c r="C5" s="12" t="s">
        <v>4</v>
      </c>
      <c r="D5" s="11" t="s">
        <v>5</v>
      </c>
      <c r="E5" s="8" t="s">
        <v>128</v>
      </c>
      <c r="F5" s="11"/>
      <c r="G5" s="11"/>
      <c r="H5" s="11"/>
      <c r="I5" s="7" t="s">
        <v>7</v>
      </c>
      <c r="J5" s="9" t="s">
        <v>30</v>
      </c>
    </row>
    <row r="6" spans="1:13">
      <c r="A6" s="13">
        <f>34361.25+19057.5</f>
        <v>53418.75</v>
      </c>
      <c r="B6" s="13">
        <f>Tabela11014182226303438424650545862667074788286909498102106110114118122126134138142146150154158162170174178182186190194198202206210214218222226[ENTRADA]*3/100</f>
        <v>1602.5625</v>
      </c>
      <c r="C6" s="13">
        <f>Tabela11014182226303438424650545862667074788286909498102106110114118122126134138142146150154158162170174178182186190194198202206210214218222226[ENTRADA]*10/100</f>
        <v>5341.875</v>
      </c>
      <c r="D6" s="11">
        <f>Tabela11014182226303438424650545862667074788286909498102106110114118122126134138142146150154158162170174178182186190194198202206210214218222226[ENTRADA]-(Tabela11014182226303438424650545862667074788286909498102106110114118122126134138142146150154158162170174178182186190194198202206210214218222226[INSS 3%]+Tabela11014182226303438424650545862667074788286909498102106110114118122126134138142146150154158162170174178182186190194198202206210214218222226[DIZIMO 10%])</f>
        <v>46474.3125</v>
      </c>
      <c r="E6" s="8">
        <f>Tabela11014182226303438424650545862667074788286909498102106110114118122126134138142146150154158162170174178182186190194198202206210214218222226[Renda 87%]-(B12+B23+B32)</f>
        <v>13474.3125</v>
      </c>
      <c r="F6" s="11"/>
      <c r="G6" s="11"/>
      <c r="H6" s="11"/>
      <c r="I6" s="7">
        <f>B12+B23+B32</f>
        <v>33000</v>
      </c>
      <c r="J6" s="9">
        <f>Tabela11014182226303438424650545862667074788286909498102106110114118122126134138142146150154158162170174178182186190194198202206210214218222226[Saldo Final]+I6</f>
        <v>46474.3125</v>
      </c>
    </row>
    <row r="7" spans="1:13" ht="18" customHeight="1">
      <c r="A7" s="38" t="s">
        <v>8</v>
      </c>
      <c r="B7" s="38"/>
      <c r="C7" s="38"/>
      <c r="D7" s="38"/>
      <c r="E7" s="38"/>
      <c r="F7" s="38"/>
      <c r="G7" s="38"/>
      <c r="H7" s="38"/>
      <c r="I7" s="14"/>
      <c r="J7" s="14"/>
      <c r="L7" s="19"/>
    </row>
    <row r="8" spans="1:13">
      <c r="A8" s="3" t="s">
        <v>9</v>
      </c>
      <c r="B8" s="4" t="s">
        <v>10</v>
      </c>
      <c r="C8" s="4" t="s">
        <v>92</v>
      </c>
      <c r="D8" s="4" t="s">
        <v>101</v>
      </c>
      <c r="E8" s="1"/>
      <c r="F8" s="1"/>
      <c r="G8" s="1"/>
      <c r="H8" s="1"/>
      <c r="I8" s="1"/>
      <c r="J8" s="1"/>
      <c r="K8" s="1"/>
      <c r="M8" s="19"/>
    </row>
    <row r="9" spans="1:13">
      <c r="A9" s="4" t="s">
        <v>59</v>
      </c>
      <c r="B9" s="30"/>
      <c r="C9" s="30" t="s">
        <v>80</v>
      </c>
      <c r="D9" s="18"/>
      <c r="E9" s="1"/>
      <c r="F9" s="1"/>
      <c r="G9" s="1"/>
      <c r="H9" s="1"/>
      <c r="I9" s="1"/>
      <c r="J9" s="1"/>
      <c r="K9" s="1"/>
      <c r="M9" s="19"/>
    </row>
    <row r="10" spans="1:13">
      <c r="A10" s="4" t="s">
        <v>140</v>
      </c>
      <c r="B10" s="4">
        <v>300</v>
      </c>
      <c r="C10" s="30" t="s">
        <v>80</v>
      </c>
      <c r="D10" s="18"/>
      <c r="E10" s="1"/>
      <c r="F10" s="1"/>
      <c r="G10" s="1"/>
      <c r="H10" s="1"/>
      <c r="I10" s="1"/>
      <c r="J10" s="1"/>
      <c r="K10" s="1"/>
      <c r="M10" s="19"/>
    </row>
    <row r="11" spans="1:13">
      <c r="A11" s="4" t="s">
        <v>117</v>
      </c>
      <c r="B11" s="4">
        <v>500</v>
      </c>
      <c r="C11" s="30" t="s">
        <v>80</v>
      </c>
      <c r="D11" s="18"/>
      <c r="E11" s="1"/>
      <c r="F11" s="1"/>
      <c r="G11" s="1"/>
      <c r="H11" s="1"/>
      <c r="I11" s="1"/>
      <c r="J11" s="1"/>
      <c r="K11" s="1"/>
      <c r="M11" s="19"/>
    </row>
    <row r="12" spans="1:13">
      <c r="A12" s="2" t="s">
        <v>14</v>
      </c>
      <c r="B12" s="28">
        <f>SUM(B9:B11)</f>
        <v>800</v>
      </c>
      <c r="C12" s="30" t="s">
        <v>80</v>
      </c>
      <c r="D12" s="18"/>
      <c r="E12" s="1"/>
      <c r="F12" s="1"/>
      <c r="G12" s="1"/>
      <c r="H12" s="1"/>
      <c r="I12" s="1"/>
      <c r="J12" s="1"/>
      <c r="K12" s="1"/>
      <c r="M12" s="19"/>
    </row>
    <row r="13" spans="1:13">
      <c r="A13" s="1"/>
      <c r="B13" s="29"/>
      <c r="C13" s="1"/>
      <c r="D13" s="1"/>
      <c r="E13" s="1"/>
      <c r="F13" s="1"/>
      <c r="G13" s="1"/>
      <c r="H13" s="1"/>
      <c r="I13" s="1"/>
      <c r="J13" s="1"/>
      <c r="L13" s="19"/>
    </row>
    <row r="14" spans="1:13">
      <c r="A14" s="4" t="s">
        <v>15</v>
      </c>
      <c r="B14" s="4" t="s">
        <v>10</v>
      </c>
      <c r="C14" s="4" t="s">
        <v>139</v>
      </c>
      <c r="D14" s="27" t="s">
        <v>92</v>
      </c>
      <c r="E14" s="1"/>
      <c r="F14" s="1"/>
      <c r="G14" s="1"/>
      <c r="H14" s="1"/>
      <c r="I14" s="1"/>
      <c r="J14" s="1"/>
      <c r="K14" s="1"/>
      <c r="M14" s="19"/>
    </row>
    <row r="15" spans="1:13">
      <c r="A15" s="40" t="s">
        <v>16</v>
      </c>
      <c r="B15" s="40">
        <v>5000</v>
      </c>
      <c r="C15" s="40"/>
      <c r="D15" s="41" t="s">
        <v>143</v>
      </c>
      <c r="E15" s="1"/>
      <c r="F15" s="1"/>
      <c r="G15" s="1"/>
      <c r="H15" s="1"/>
      <c r="I15" s="1"/>
      <c r="J15" s="1"/>
      <c r="K15" s="1"/>
      <c r="M15" s="19"/>
    </row>
    <row r="16" spans="1:13">
      <c r="A16" s="23" t="s">
        <v>17</v>
      </c>
      <c r="B16" s="34">
        <v>2300</v>
      </c>
      <c r="C16" s="34"/>
      <c r="D16" s="18"/>
      <c r="E16" s="1"/>
      <c r="F16" s="1"/>
      <c r="G16" s="1"/>
      <c r="H16" s="1"/>
      <c r="I16" s="1"/>
      <c r="J16" s="1"/>
      <c r="K16" s="1"/>
      <c r="M16" s="19"/>
    </row>
    <row r="17" spans="1:11">
      <c r="A17" s="40" t="s">
        <v>20</v>
      </c>
      <c r="B17" s="40">
        <v>500</v>
      </c>
      <c r="C17" s="40"/>
      <c r="D17" s="40"/>
      <c r="E17" s="1"/>
      <c r="F17" s="1"/>
      <c r="G17" s="1"/>
      <c r="H17" s="1"/>
      <c r="I17" s="1"/>
      <c r="J17" s="1"/>
      <c r="K17" s="1"/>
    </row>
    <row r="18" spans="1:11">
      <c r="A18" s="1" t="s">
        <v>13</v>
      </c>
      <c r="B18" s="1">
        <v>2900</v>
      </c>
      <c r="C18" s="1"/>
      <c r="D18" s="18"/>
      <c r="E18" s="1"/>
      <c r="F18" s="1"/>
      <c r="G18" s="1"/>
      <c r="H18" s="1"/>
      <c r="I18" s="1"/>
      <c r="J18" s="1"/>
      <c r="K18" s="1"/>
    </row>
    <row r="19" spans="1:11">
      <c r="A19" s="23" t="s">
        <v>19</v>
      </c>
      <c r="B19" s="23">
        <v>500</v>
      </c>
      <c r="C19" s="23"/>
      <c r="D19" s="18"/>
      <c r="E19" s="1"/>
      <c r="F19" s="1"/>
      <c r="G19" s="1"/>
      <c r="H19" s="1"/>
      <c r="I19" s="1"/>
      <c r="J19" s="1"/>
      <c r="K19" s="1"/>
    </row>
    <row r="20" spans="1:11">
      <c r="A20" s="40" t="s">
        <v>111</v>
      </c>
      <c r="B20" s="40">
        <v>2000</v>
      </c>
      <c r="C20" s="40"/>
      <c r="D20" s="40" t="s">
        <v>80</v>
      </c>
      <c r="E20" s="1"/>
      <c r="F20" s="1"/>
      <c r="G20" s="1"/>
      <c r="H20" s="1"/>
      <c r="I20" s="1"/>
      <c r="J20" s="1"/>
      <c r="K20" s="1"/>
    </row>
    <row r="21" spans="1:11">
      <c r="A21" s="23" t="s">
        <v>63</v>
      </c>
      <c r="B21" s="23">
        <v>1500</v>
      </c>
      <c r="C21" s="23"/>
      <c r="D21" s="18"/>
      <c r="E21" s="1"/>
      <c r="F21" s="1"/>
      <c r="G21" s="1"/>
      <c r="H21" s="1"/>
      <c r="I21" s="1"/>
      <c r="J21" s="1"/>
      <c r="K21" s="1"/>
    </row>
    <row r="22" spans="1:11">
      <c r="A22" s="23" t="s">
        <v>64</v>
      </c>
      <c r="B22" s="23">
        <v>3700</v>
      </c>
      <c r="C22" s="23"/>
      <c r="D22" s="18"/>
      <c r="E22" s="1"/>
      <c r="F22" s="1"/>
      <c r="G22" s="1"/>
      <c r="H22" s="1"/>
      <c r="I22" s="1"/>
      <c r="J22" s="1"/>
      <c r="K22" s="1"/>
    </row>
    <row r="23" spans="1:11">
      <c r="A23" s="2" t="s">
        <v>14</v>
      </c>
      <c r="B23" s="2">
        <f>SUM(B15:B22)</f>
        <v>18400</v>
      </c>
      <c r="C23" s="2"/>
      <c r="D23" s="18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1">
      <c r="A25" s="5" t="s">
        <v>22</v>
      </c>
      <c r="B25" s="6" t="s">
        <v>10</v>
      </c>
      <c r="C25" s="4" t="s">
        <v>101</v>
      </c>
      <c r="D25" s="1"/>
      <c r="E25" s="1"/>
      <c r="F25" s="1"/>
      <c r="G25" s="1"/>
      <c r="H25" s="1"/>
      <c r="I25" s="1"/>
      <c r="J25" s="1"/>
    </row>
    <row r="26" spans="1:11">
      <c r="A26" s="40" t="s">
        <v>26</v>
      </c>
      <c r="B26" s="42">
        <v>5000</v>
      </c>
      <c r="C26" s="40" t="s">
        <v>80</v>
      </c>
      <c r="D26" s="1"/>
      <c r="E26" s="1"/>
      <c r="F26" s="1"/>
      <c r="G26" s="1"/>
      <c r="H26" s="1"/>
      <c r="I26" s="1"/>
      <c r="J26" s="1"/>
    </row>
    <row r="27" spans="1:11">
      <c r="A27" s="40" t="s">
        <v>27</v>
      </c>
      <c r="B27" s="40">
        <v>1000</v>
      </c>
      <c r="C27" s="40" t="s">
        <v>118</v>
      </c>
      <c r="D27" s="1"/>
      <c r="E27" s="1"/>
      <c r="F27" s="1"/>
      <c r="G27" s="1"/>
      <c r="H27" s="1"/>
      <c r="I27" s="1"/>
      <c r="J27" s="1"/>
    </row>
    <row r="28" spans="1:11">
      <c r="A28" s="40" t="s">
        <v>127</v>
      </c>
      <c r="B28" s="40">
        <v>5000</v>
      </c>
      <c r="C28" s="40" t="s">
        <v>80</v>
      </c>
      <c r="D28" s="1"/>
      <c r="E28" s="1"/>
      <c r="F28" s="1"/>
      <c r="G28" s="1"/>
      <c r="H28" s="1"/>
      <c r="I28" s="1"/>
      <c r="J28" s="1"/>
    </row>
    <row r="29" spans="1:11">
      <c r="A29" s="10" t="s">
        <v>65</v>
      </c>
      <c r="B29" s="10">
        <v>500</v>
      </c>
      <c r="C29" s="26" t="s">
        <v>118</v>
      </c>
      <c r="D29" s="1"/>
      <c r="E29" s="1"/>
      <c r="F29" s="1"/>
      <c r="G29" s="1"/>
      <c r="H29" s="1"/>
      <c r="I29" s="1"/>
      <c r="J29" s="1"/>
    </row>
    <row r="30" spans="1:11">
      <c r="A30" s="1" t="s">
        <v>28</v>
      </c>
      <c r="B30" s="1">
        <v>300</v>
      </c>
      <c r="C30" s="18"/>
      <c r="D30" s="1"/>
      <c r="E30" s="1"/>
      <c r="F30" s="1"/>
      <c r="G30" s="1"/>
      <c r="H30" s="1"/>
      <c r="I30" s="1"/>
      <c r="J30" s="1"/>
    </row>
    <row r="31" spans="1:11">
      <c r="A31" s="40" t="s">
        <v>24</v>
      </c>
      <c r="B31" s="42">
        <v>2000</v>
      </c>
      <c r="C31" s="40" t="s">
        <v>118</v>
      </c>
      <c r="D31" s="1"/>
      <c r="E31" s="1"/>
      <c r="F31" s="1"/>
      <c r="G31" s="1"/>
      <c r="H31" s="1"/>
      <c r="I31" s="1"/>
      <c r="J31" s="1"/>
    </row>
    <row r="32" spans="1:11">
      <c r="A32" s="2" t="s">
        <v>14</v>
      </c>
      <c r="B32" s="2">
        <f>SUM(B26:B31)</f>
        <v>13800</v>
      </c>
      <c r="C32" s="18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D39" s="1"/>
      <c r="E39" s="1"/>
      <c r="F39" s="1"/>
      <c r="G39" s="1"/>
      <c r="H39" s="1"/>
      <c r="I39" s="1"/>
      <c r="J39" s="1"/>
    </row>
    <row r="40" spans="1:10">
      <c r="D40" s="1"/>
      <c r="E40" s="1"/>
      <c r="F40" s="1"/>
      <c r="G40" s="1"/>
      <c r="H40" s="1"/>
      <c r="I40" s="1"/>
      <c r="J40" s="1"/>
    </row>
    <row r="41" spans="1:10">
      <c r="D41" s="1"/>
      <c r="E41" s="1"/>
      <c r="F41" s="1"/>
      <c r="G41" s="1"/>
      <c r="H41" s="1"/>
      <c r="I41" s="1"/>
      <c r="J41" s="1"/>
    </row>
    <row r="42" spans="1:10">
      <c r="D42" s="1"/>
      <c r="E42" s="1"/>
      <c r="F42" s="1"/>
      <c r="G42" s="1"/>
      <c r="H42" s="1"/>
      <c r="I42" s="1"/>
      <c r="J42" s="1"/>
    </row>
  </sheetData>
  <mergeCells count="3">
    <mergeCell ref="A2:B3"/>
    <mergeCell ref="C3:E3"/>
    <mergeCell ref="A7:H7"/>
  </mergeCells>
  <pageMargins left="0.511811024" right="0.511811024" top="0.78740157499999996" bottom="0.78740157499999996" header="0.31496062000000002" footer="0.31496062000000002"/>
  <pageSetup paperSize="9" scale="79" orientation="landscape" horizontalDpi="4294967294" verticalDpi="300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9a4dc687-ec4f-419e-8dff-d93fd7ebe765}" enabled="0" method="" siteId="{9a4dc687-ec4f-419e-8dff-d93fd7ebe7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Usuário do Windows</dc:creator>
  <cp:keywords/>
  <dc:description/>
  <cp:lastModifiedBy>Filipe Dos Santos | Life Child</cp:lastModifiedBy>
  <cp:revision/>
  <dcterms:created xsi:type="dcterms:W3CDTF">2021-03-27T11:05:24Z</dcterms:created>
  <dcterms:modified xsi:type="dcterms:W3CDTF">2026-09-23T15:12:22Z</dcterms:modified>
  <cp:category/>
  <cp:contentStatus/>
</cp:coreProperties>
</file>